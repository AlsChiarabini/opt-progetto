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teman/Dati/Documents/Materiale Insegnamento/Modelli e Metodi per il Supporto alle Decisioni 2/Selected/Progetti/Projects/Maximum Flow with Conflicts/"/>
    </mc:Choice>
  </mc:AlternateContent>
  <xr:revisionPtr revIDLastSave="0" documentId="8_{CFC9C685-56B1-401F-AF78-D37FC7B6E783}" xr6:coauthVersionLast="47" xr6:coauthVersionMax="47" xr10:uidLastSave="{00000000-0000-0000-0000-000000000000}"/>
  <bookViews>
    <workbookView xWindow="380" yWindow="760" windowWidth="28040" windowHeight="16940" xr2:uid="{242D3A47-3396-0748-977E-0D201DF88350}"/>
  </bookViews>
  <sheets>
    <sheet name="Sheet1" sheetId="1" r:id="rId1"/>
  </sheets>
  <definedNames>
    <definedName name="final" localSheetId="0">Sheet1!#REF!</definedName>
    <definedName name="outputc1" localSheetId="0">Sheet1!#REF!</definedName>
    <definedName name="outputc1_1" localSheetId="0">Sheet1!#REF!</definedName>
    <definedName name="outputc1_2" localSheetId="0">Sheet1!#REF!</definedName>
    <definedName name="outputc2" localSheetId="0">Sheet1!#REF!</definedName>
    <definedName name="Risultatiold_1" localSheetId="0">Sheet1!#REF!</definedName>
    <definedName name="tabellabella" localSheetId="0">Sheet1!#REF!</definedName>
    <definedName name="tabellabella_1" localSheetId="0">Sheet1!#REF!</definedName>
    <definedName name="tabellabella2" localSheetId="0">Sheet1!#REF!</definedName>
    <definedName name="tabellabella2_1" localSheetId="0">Sheet1!#REF!</definedName>
    <definedName name="temp" localSheetId="0">Sheet1!#REF!</definedName>
    <definedName name="temp_1" localSheetId="0">Sheet1!#REF!</definedName>
    <definedName name="temp_2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1" l="1"/>
  <c r="O165" i="1"/>
  <c r="N165" i="1"/>
  <c r="M165" i="1"/>
  <c r="L165" i="1"/>
  <c r="K165" i="1"/>
  <c r="J165" i="1"/>
  <c r="I165" i="1"/>
  <c r="H165" i="1"/>
  <c r="G165" i="1"/>
  <c r="F165" i="1"/>
  <c r="E165" i="1"/>
  <c r="S165" i="1"/>
  <c r="R165" i="1"/>
  <c r="T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165" i="1" s="1"/>
</calcChain>
</file>

<file path=xl/sharedStrings.xml><?xml version="1.0" encoding="utf-8"?>
<sst xmlns="http://schemas.openxmlformats.org/spreadsheetml/2006/main" count="39" uniqueCount="20">
  <si>
    <t>ID</t>
  </si>
  <si>
    <t>Best Known</t>
  </si>
  <si>
    <t>Benders Dec. [1]</t>
  </si>
  <si>
    <t>Branch&amp;Bound [1]</t>
  </si>
  <si>
    <t>Russian Doll Search [1]</t>
  </si>
  <si>
    <t>Carousel Greedy  [2]</t>
  </si>
  <si>
    <t>Kernel Search  [3]</t>
  </si>
  <si>
    <t>Kernousel [2]</t>
  </si>
  <si>
    <t>CP-SAT</t>
  </si>
  <si>
    <t xml:space="preserve"> </t>
  </si>
  <si>
    <t>LB</t>
  </si>
  <si>
    <t>UB</t>
  </si>
  <si>
    <t>Gap %</t>
  </si>
  <si>
    <t>Gap</t>
  </si>
  <si>
    <t>Sec</t>
  </si>
  <si>
    <t>Opt</t>
  </si>
  <si>
    <t>LB %</t>
  </si>
  <si>
    <t>heu</t>
  </si>
  <si>
    <t>opt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</si>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</sst>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4D68-B0F8-0D4F-8530-EC9BCF278646}">
  <dimension ref="B2:U165"/>
  <sheetViews>
    <sheetView tabSelected="1" topLeftCell="E1" zoomScale="125" workbookViewId="0">
      <selection activeCell="E2" sqref="E2"/>
    </sheetView>
  </sheetViews>
  <sheetFormatPr defaultColWidth="11" defaultRowHeight="15.95"/>
  <cols>
    <col min="2" max="2" width="7.625" bestFit="1" customWidth="1"/>
    <col min="3" max="3" width="3" bestFit="1" customWidth="1"/>
    <col min="4" max="4" width="6" bestFit="1" customWidth="1"/>
    <col min="5" max="5" width="14.5" bestFit="1" customWidth="1"/>
    <col min="6" max="6" width="5.5" bestFit="1" customWidth="1"/>
    <col min="7" max="7" width="16.125" bestFit="1" customWidth="1"/>
    <col min="8" max="8" width="4.5" style="1" bestFit="1" customWidth="1"/>
    <col min="9" max="9" width="14" customWidth="1"/>
    <col min="10" max="10" width="6.625" bestFit="1" customWidth="1"/>
    <col min="11" max="11" width="17.875" style="1" bestFit="1" customWidth="1"/>
    <col min="12" max="12" width="5.5" bestFit="1" customWidth="1"/>
    <col min="13" max="13" width="15.375" bestFit="1" customWidth="1"/>
    <col min="14" max="14" width="5.5" style="1" bestFit="1" customWidth="1"/>
    <col min="15" max="15" width="11.875" bestFit="1" customWidth="1"/>
    <col min="16" max="16" width="5.5" style="2" bestFit="1" customWidth="1"/>
    <col min="17" max="17" width="6.75" bestFit="1" customWidth="1"/>
    <col min="18" max="18" width="5.5" bestFit="1" customWidth="1"/>
    <col min="19" max="19" width="6.625" bestFit="1" customWidth="1"/>
    <col min="20" max="21" width="5.125" bestFit="1" customWidth="1"/>
    <col min="22" max="23" width="7.125" bestFit="1" customWidth="1"/>
    <col min="24" max="24" width="6.125" bestFit="1" customWidth="1"/>
    <col min="25" max="25" width="8.125" bestFit="1" customWidth="1"/>
    <col min="26" max="26" width="8.625" customWidth="1"/>
    <col min="27" max="27" width="6.125" bestFit="1" customWidth="1"/>
    <col min="28" max="28" width="12.625" bestFit="1" customWidth="1"/>
    <col min="29" max="29" width="8.625" customWidth="1"/>
    <col min="30" max="31" width="7.125" bestFit="1" customWidth="1"/>
    <col min="32" max="32" width="8.625" customWidth="1"/>
    <col min="33" max="33" width="13.625" bestFit="1" customWidth="1"/>
    <col min="34" max="34" width="14.625" bestFit="1" customWidth="1"/>
    <col min="35" max="35" width="8.625" customWidth="1"/>
    <col min="38" max="38" width="9.375" customWidth="1"/>
    <col min="39" max="39" width="8.625" customWidth="1"/>
    <col min="40" max="40" width="3.125" bestFit="1" customWidth="1"/>
    <col min="41" max="41" width="7.125" bestFit="1" customWidth="1"/>
    <col min="42" max="42" width="3.125" bestFit="1" customWidth="1"/>
    <col min="43" max="43" width="9.375" customWidth="1"/>
    <col min="44" max="44" width="7.125" bestFit="1" customWidth="1"/>
    <col min="45" max="45" width="14.625" bestFit="1" customWidth="1"/>
    <col min="46" max="46" width="7.125" bestFit="1" customWidth="1"/>
    <col min="47" max="47" width="7.125" customWidth="1"/>
    <col min="48" max="48" width="7.125" bestFit="1" customWidth="1"/>
    <col min="49" max="49" width="9.5" customWidth="1"/>
    <col min="50" max="50" width="8.375" bestFit="1" customWidth="1"/>
    <col min="51" max="51" width="8.625" customWidth="1"/>
    <col min="52" max="52" width="6.375" bestFit="1" customWidth="1"/>
    <col min="53" max="53" width="12.875" bestFit="1" customWidth="1"/>
    <col min="54" max="54" width="8.625" customWidth="1"/>
    <col min="55" max="55" width="7.625" bestFit="1" customWidth="1"/>
    <col min="56" max="56" width="7.375" bestFit="1" customWidth="1"/>
    <col min="57" max="57" width="8.625" customWidth="1"/>
    <col min="58" max="58" width="13.875" bestFit="1" customWidth="1"/>
    <col min="59" max="59" width="14.875" bestFit="1" customWidth="1"/>
    <col min="60" max="60" width="8.625" customWidth="1"/>
    <col min="61" max="62" width="11" bestFit="1" customWidth="1"/>
    <col min="63" max="63" width="9.375" customWidth="1"/>
    <col min="64" max="64" width="8.625" customWidth="1"/>
  </cols>
  <sheetData>
    <row r="2" spans="2:21">
      <c r="B2" t="s">
        <v>0</v>
      </c>
      <c r="C2" s="5" t="s">
        <v>1</v>
      </c>
      <c r="D2" s="5"/>
      <c r="E2" t="s">
        <v>2</v>
      </c>
      <c r="G2" t="s">
        <v>3</v>
      </c>
      <c r="H2"/>
      <c r="I2" t="s">
        <v>4</v>
      </c>
      <c r="K2" t="s">
        <v>5</v>
      </c>
      <c r="M2" t="s">
        <v>6</v>
      </c>
      <c r="N2"/>
      <c r="O2" t="s">
        <v>7</v>
      </c>
      <c r="P2"/>
      <c r="Q2" t="s">
        <v>8</v>
      </c>
    </row>
    <row r="3" spans="2:21">
      <c r="B3" t="s">
        <v>9</v>
      </c>
      <c r="C3" t="s">
        <v>10</v>
      </c>
      <c r="D3" t="s">
        <v>11</v>
      </c>
      <c r="E3" s="5" t="s">
        <v>12</v>
      </c>
      <c r="F3" s="5"/>
      <c r="G3" s="5" t="s">
        <v>12</v>
      </c>
      <c r="H3" s="5"/>
      <c r="I3" s="5" t="s">
        <v>12</v>
      </c>
      <c r="J3" s="5"/>
      <c r="K3" t="s">
        <v>13</v>
      </c>
      <c r="L3" t="s">
        <v>14</v>
      </c>
      <c r="M3" t="s">
        <v>13</v>
      </c>
      <c r="N3" t="s">
        <v>14</v>
      </c>
      <c r="O3" t="s">
        <v>13</v>
      </c>
      <c r="P3" t="s">
        <v>14</v>
      </c>
      <c r="Q3" t="s">
        <v>15</v>
      </c>
      <c r="R3" t="s">
        <v>14</v>
      </c>
      <c r="S3" t="s">
        <v>14</v>
      </c>
      <c r="T3" s="5" t="s">
        <v>12</v>
      </c>
      <c r="U3" s="5"/>
    </row>
    <row r="4" spans="2:21">
      <c r="E4" t="s">
        <v>10</v>
      </c>
      <c r="F4" t="s">
        <v>11</v>
      </c>
      <c r="G4" t="s">
        <v>10</v>
      </c>
      <c r="H4" t="s">
        <v>11</v>
      </c>
      <c r="I4" t="s">
        <v>10</v>
      </c>
      <c r="J4" t="s">
        <v>11</v>
      </c>
      <c r="K4" t="s">
        <v>16</v>
      </c>
      <c r="M4" t="s">
        <v>16</v>
      </c>
      <c r="N4"/>
      <c r="O4" t="s">
        <v>16</v>
      </c>
      <c r="P4"/>
      <c r="R4" t="s">
        <v>17</v>
      </c>
      <c r="S4" t="s">
        <v>18</v>
      </c>
      <c r="T4" t="s">
        <v>10</v>
      </c>
      <c r="U4" t="s">
        <v>11</v>
      </c>
    </row>
    <row r="5" spans="2:21">
      <c r="B5">
        <v>1</v>
      </c>
      <c r="C5">
        <v>37</v>
      </c>
      <c r="D5">
        <v>37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7.99</v>
      </c>
      <c r="M5" s="3">
        <v>0</v>
      </c>
      <c r="N5" s="3">
        <v>4.6399999999999997</v>
      </c>
      <c r="O5" s="3">
        <v>0</v>
      </c>
      <c r="P5" s="3">
        <v>13.09</v>
      </c>
      <c r="Q5">
        <v>37</v>
      </c>
      <c r="R5" s="3">
        <v>1.2042665660436958</v>
      </c>
      <c r="S5" s="3">
        <v>1.5796246795975599</v>
      </c>
      <c r="T5" s="3">
        <v>0</v>
      </c>
      <c r="U5" s="3">
        <f>100*(Q5-D5)/D5</f>
        <v>0</v>
      </c>
    </row>
    <row r="6" spans="2:21">
      <c r="B6">
        <v>2</v>
      </c>
      <c r="C6">
        <v>49</v>
      </c>
      <c r="D6">
        <v>49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24.489795918367346</v>
      </c>
      <c r="L6" s="3">
        <v>5.72</v>
      </c>
      <c r="M6" s="3">
        <v>0</v>
      </c>
      <c r="N6" s="3">
        <v>3.73</v>
      </c>
      <c r="O6" s="3">
        <v>0</v>
      </c>
      <c r="P6" s="3">
        <v>9.39</v>
      </c>
      <c r="Q6">
        <v>49</v>
      </c>
      <c r="R6" s="3">
        <v>1.2532441365622533</v>
      </c>
      <c r="S6" s="3">
        <v>1.5775463279218009</v>
      </c>
      <c r="T6" s="3">
        <v>0</v>
      </c>
      <c r="U6" s="3">
        <f t="shared" ref="U6:U69" si="0">100*(Q6-D6)/D6</f>
        <v>0</v>
      </c>
    </row>
    <row r="7" spans="2:21">
      <c r="B7">
        <v>3</v>
      </c>
      <c r="C7">
        <v>24</v>
      </c>
      <c r="D7">
        <v>24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1.88</v>
      </c>
      <c r="M7" s="3">
        <v>0</v>
      </c>
      <c r="N7" s="3">
        <v>6.31</v>
      </c>
      <c r="O7" s="3">
        <v>0</v>
      </c>
      <c r="P7" s="3">
        <v>7.58</v>
      </c>
      <c r="Q7">
        <v>24</v>
      </c>
      <c r="R7" s="3">
        <v>1.6677103662542772</v>
      </c>
      <c r="S7" s="3">
        <v>1.9209774935612627</v>
      </c>
      <c r="T7" s="3">
        <v>0</v>
      </c>
      <c r="U7" s="3">
        <f t="shared" si="0"/>
        <v>0</v>
      </c>
    </row>
    <row r="8" spans="2:21">
      <c r="B8">
        <v>4</v>
      </c>
      <c r="C8">
        <v>33</v>
      </c>
      <c r="D8">
        <v>33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4.57</v>
      </c>
      <c r="M8" s="3">
        <v>0</v>
      </c>
      <c r="N8" s="3">
        <v>4.6500000000000004</v>
      </c>
      <c r="O8" s="3">
        <v>0</v>
      </c>
      <c r="P8" s="3">
        <v>9.56</v>
      </c>
      <c r="Q8">
        <v>33</v>
      </c>
      <c r="R8" s="3">
        <v>1.6040362130034218</v>
      </c>
      <c r="S8" s="3">
        <v>1.9481686807739373</v>
      </c>
      <c r="T8" s="3">
        <v>0</v>
      </c>
      <c r="U8" s="3">
        <f t="shared" si="0"/>
        <v>0</v>
      </c>
    </row>
    <row r="9" spans="2:21">
      <c r="B9">
        <v>5</v>
      </c>
      <c r="C9">
        <v>12</v>
      </c>
      <c r="D9">
        <v>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1.49</v>
      </c>
      <c r="M9" s="3">
        <v>0</v>
      </c>
      <c r="N9" s="3">
        <v>12.09</v>
      </c>
      <c r="O9" s="3">
        <v>0</v>
      </c>
      <c r="P9" s="3">
        <v>7.44</v>
      </c>
      <c r="Q9">
        <v>12</v>
      </c>
      <c r="R9" s="3">
        <v>2.11787247112398</v>
      </c>
      <c r="S9" s="3">
        <v>2.7618894184159726</v>
      </c>
      <c r="T9" s="3">
        <v>0</v>
      </c>
      <c r="U9" s="3">
        <f t="shared" si="0"/>
        <v>0</v>
      </c>
    </row>
    <row r="10" spans="2:21">
      <c r="B10">
        <v>6</v>
      </c>
      <c r="C10">
        <v>34</v>
      </c>
      <c r="D10">
        <v>34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2.5099999999999998</v>
      </c>
      <c r="M10" s="3">
        <v>0</v>
      </c>
      <c r="N10" s="3">
        <v>4.92</v>
      </c>
      <c r="O10" s="3">
        <v>0</v>
      </c>
      <c r="P10" s="3">
        <v>8.4</v>
      </c>
      <c r="Q10">
        <v>34</v>
      </c>
      <c r="R10" s="3">
        <v>2.0887263752566461</v>
      </c>
      <c r="S10" s="3">
        <v>2.6790719420133549</v>
      </c>
      <c r="T10" s="3">
        <v>0</v>
      </c>
      <c r="U10" s="3">
        <f t="shared" si="0"/>
        <v>0</v>
      </c>
    </row>
    <row r="11" spans="2:21">
      <c r="B11">
        <v>7</v>
      </c>
      <c r="C11">
        <v>13</v>
      </c>
      <c r="D11">
        <v>13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1.98</v>
      </c>
      <c r="M11" s="3">
        <v>0</v>
      </c>
      <c r="N11" s="3">
        <v>6.67</v>
      </c>
      <c r="O11" s="3">
        <v>0</v>
      </c>
      <c r="P11" s="3">
        <v>8.35</v>
      </c>
      <c r="Q11">
        <v>13</v>
      </c>
      <c r="R11" s="3">
        <v>2.308188136509608</v>
      </c>
      <c r="S11" s="3">
        <v>2.8177440553691766</v>
      </c>
      <c r="T11" s="3">
        <v>0</v>
      </c>
      <c r="U11" s="3">
        <f t="shared" si="0"/>
        <v>0</v>
      </c>
    </row>
    <row r="12" spans="2:21">
      <c r="B12">
        <v>8</v>
      </c>
      <c r="C12">
        <v>15</v>
      </c>
      <c r="D12">
        <v>15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1.73</v>
      </c>
      <c r="M12" s="3">
        <v>0</v>
      </c>
      <c r="N12" s="3">
        <v>5.53</v>
      </c>
      <c r="O12" s="3">
        <v>0</v>
      </c>
      <c r="P12" s="3">
        <v>7.65</v>
      </c>
      <c r="Q12">
        <v>15</v>
      </c>
      <c r="R12" s="3">
        <v>2.2852359877862591</v>
      </c>
      <c r="S12" s="3">
        <v>3.0348609789762704</v>
      </c>
      <c r="T12" s="3">
        <v>0</v>
      </c>
      <c r="U12" s="3">
        <f t="shared" si="0"/>
        <v>0</v>
      </c>
    </row>
    <row r="13" spans="2:21">
      <c r="B13">
        <v>9</v>
      </c>
      <c r="C13">
        <v>35</v>
      </c>
      <c r="D13">
        <v>35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2.8571428571428572</v>
      </c>
      <c r="L13" s="3">
        <v>6.63</v>
      </c>
      <c r="M13" s="3">
        <v>2.8571428571428572</v>
      </c>
      <c r="N13" s="3">
        <v>6.84</v>
      </c>
      <c r="O13" s="3">
        <v>0</v>
      </c>
      <c r="P13" s="3">
        <v>12.7</v>
      </c>
      <c r="Q13">
        <v>35</v>
      </c>
      <c r="R13" s="3">
        <v>2.1541102111608317</v>
      </c>
      <c r="S13" s="3">
        <v>2.6592885110528237</v>
      </c>
      <c r="T13" s="3">
        <v>0</v>
      </c>
      <c r="U13" s="3">
        <f t="shared" si="0"/>
        <v>0</v>
      </c>
    </row>
    <row r="14" spans="2:21">
      <c r="B14">
        <v>10</v>
      </c>
      <c r="C14">
        <v>51</v>
      </c>
      <c r="D14">
        <v>51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3.01</v>
      </c>
      <c r="M14" s="3">
        <v>0</v>
      </c>
      <c r="N14" s="3">
        <v>19.57</v>
      </c>
      <c r="O14" s="3">
        <v>0</v>
      </c>
      <c r="P14" s="3">
        <v>16.98</v>
      </c>
      <c r="Q14">
        <v>51</v>
      </c>
      <c r="R14" s="3">
        <v>2.3020221105027643</v>
      </c>
      <c r="S14" s="3">
        <v>7.1674353254879737</v>
      </c>
      <c r="T14" s="3">
        <v>0</v>
      </c>
      <c r="U14" s="3">
        <f t="shared" si="0"/>
        <v>0</v>
      </c>
    </row>
    <row r="15" spans="2:21">
      <c r="B15">
        <v>11</v>
      </c>
      <c r="C15">
        <v>26</v>
      </c>
      <c r="D15">
        <v>26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4.55</v>
      </c>
      <c r="M15" s="3">
        <v>0</v>
      </c>
      <c r="N15" s="3">
        <v>10.55</v>
      </c>
      <c r="O15" s="3">
        <v>0</v>
      </c>
      <c r="P15" s="3">
        <v>14.29</v>
      </c>
      <c r="Q15">
        <v>26</v>
      </c>
      <c r="R15" s="3">
        <v>3.0065006463806263</v>
      </c>
      <c r="S15" s="3">
        <v>3.9284639566877759</v>
      </c>
      <c r="T15" s="3">
        <v>0</v>
      </c>
      <c r="U15" s="3">
        <f t="shared" si="0"/>
        <v>0</v>
      </c>
    </row>
    <row r="16" spans="2:21">
      <c r="B16">
        <v>12</v>
      </c>
      <c r="C16">
        <v>50</v>
      </c>
      <c r="D16">
        <v>50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22</v>
      </c>
      <c r="L16" s="3">
        <v>4.7699999999999996</v>
      </c>
      <c r="M16" s="3">
        <v>0</v>
      </c>
      <c r="N16" s="3">
        <v>14.83</v>
      </c>
      <c r="O16" s="3">
        <v>0</v>
      </c>
      <c r="P16" s="3">
        <v>14.4</v>
      </c>
      <c r="Q16">
        <v>50</v>
      </c>
      <c r="R16" s="3">
        <v>3.0041997498815478</v>
      </c>
      <c r="S16" s="3">
        <v>3.837412801784208</v>
      </c>
      <c r="T16" s="3">
        <v>0</v>
      </c>
      <c r="U16" s="3">
        <f t="shared" si="0"/>
        <v>0</v>
      </c>
    </row>
    <row r="17" spans="2:21">
      <c r="B17">
        <v>13</v>
      </c>
      <c r="C17">
        <v>13</v>
      </c>
      <c r="D17">
        <v>13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2.54</v>
      </c>
      <c r="M17" s="3">
        <v>0</v>
      </c>
      <c r="N17" s="3">
        <v>12.62</v>
      </c>
      <c r="O17" s="3">
        <v>0</v>
      </c>
      <c r="P17" s="3">
        <v>12.91</v>
      </c>
      <c r="Q17">
        <v>13</v>
      </c>
      <c r="R17" s="3">
        <v>4.0219213027112399</v>
      </c>
      <c r="S17" s="3">
        <v>5.2440559230813459</v>
      </c>
      <c r="T17" s="3">
        <v>0</v>
      </c>
      <c r="U17" s="3">
        <f t="shared" si="0"/>
        <v>0</v>
      </c>
    </row>
    <row r="18" spans="2:21">
      <c r="B18">
        <v>14</v>
      </c>
      <c r="C18">
        <v>19</v>
      </c>
      <c r="D18">
        <v>19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2.25</v>
      </c>
      <c r="M18" s="3">
        <v>0</v>
      </c>
      <c r="N18" s="3">
        <v>9.9700000000000006</v>
      </c>
      <c r="O18" s="3">
        <v>0</v>
      </c>
      <c r="P18" s="3">
        <v>11.68</v>
      </c>
      <c r="Q18">
        <v>19</v>
      </c>
      <c r="R18" s="3">
        <v>3.883487655435641</v>
      </c>
      <c r="S18" s="3">
        <v>4.0812928573053853</v>
      </c>
      <c r="T18" s="3">
        <v>0</v>
      </c>
      <c r="U18" s="3">
        <f t="shared" si="0"/>
        <v>0</v>
      </c>
    </row>
    <row r="19" spans="2:21">
      <c r="B19">
        <v>15</v>
      </c>
      <c r="C19">
        <v>25</v>
      </c>
      <c r="D19">
        <v>25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4.32</v>
      </c>
      <c r="M19" s="3">
        <v>0</v>
      </c>
      <c r="N19" s="3">
        <v>9.74</v>
      </c>
      <c r="O19" s="3">
        <v>0</v>
      </c>
      <c r="P19" s="3">
        <v>14.48</v>
      </c>
      <c r="Q19">
        <v>25</v>
      </c>
      <c r="R19" s="3">
        <v>4.7219431705712029</v>
      </c>
      <c r="S19" s="3">
        <v>6.1681305551943</v>
      </c>
      <c r="T19" s="3">
        <v>0</v>
      </c>
      <c r="U19" s="3">
        <f t="shared" si="0"/>
        <v>0</v>
      </c>
    </row>
    <row r="20" spans="2:21">
      <c r="B20">
        <v>16</v>
      </c>
      <c r="C20">
        <v>19</v>
      </c>
      <c r="D20">
        <v>19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2.19</v>
      </c>
      <c r="M20" s="3">
        <v>0</v>
      </c>
      <c r="N20" s="3">
        <v>11.32</v>
      </c>
      <c r="O20" s="3">
        <v>0</v>
      </c>
      <c r="P20" s="3">
        <v>13.53</v>
      </c>
      <c r="Q20">
        <v>19</v>
      </c>
      <c r="R20" s="3">
        <v>4.8583145496709657</v>
      </c>
      <c r="S20" s="3">
        <v>6.4981263576918122</v>
      </c>
      <c r="T20" s="3">
        <v>0</v>
      </c>
      <c r="U20" s="3">
        <f t="shared" si="0"/>
        <v>0</v>
      </c>
    </row>
    <row r="21" spans="2:21">
      <c r="B21">
        <v>17</v>
      </c>
      <c r="C21">
        <v>43</v>
      </c>
      <c r="D21">
        <v>43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20.930232558139537</v>
      </c>
      <c r="L21" s="3">
        <v>13.53</v>
      </c>
      <c r="M21" s="3">
        <v>18.604651162790699</v>
      </c>
      <c r="N21" s="3">
        <v>37.51</v>
      </c>
      <c r="O21" s="3">
        <v>11.627906976744185</v>
      </c>
      <c r="P21" s="3">
        <v>55.73</v>
      </c>
      <c r="Q21">
        <v>43</v>
      </c>
      <c r="R21" s="3">
        <v>3.8306738505396156</v>
      </c>
      <c r="S21" s="3">
        <v>11.45079660177168</v>
      </c>
      <c r="T21" s="3">
        <v>0</v>
      </c>
      <c r="U21" s="3">
        <f t="shared" si="0"/>
        <v>0</v>
      </c>
    </row>
    <row r="22" spans="2:21">
      <c r="B22">
        <v>18</v>
      </c>
      <c r="C22">
        <v>55</v>
      </c>
      <c r="D22">
        <v>55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10.49</v>
      </c>
      <c r="M22" s="3">
        <v>0</v>
      </c>
      <c r="N22" s="3">
        <v>8.2100000000000009</v>
      </c>
      <c r="O22" s="3">
        <v>0</v>
      </c>
      <c r="P22" s="3">
        <v>19.850000000000001</v>
      </c>
      <c r="Q22">
        <v>55</v>
      </c>
      <c r="R22" s="3">
        <v>3.810187527823111</v>
      </c>
      <c r="S22" s="3">
        <v>7.6558363583879263</v>
      </c>
      <c r="T22" s="3">
        <v>0</v>
      </c>
      <c r="U22" s="3">
        <f t="shared" si="0"/>
        <v>0</v>
      </c>
    </row>
    <row r="23" spans="2:21">
      <c r="B23">
        <v>19</v>
      </c>
      <c r="C23">
        <v>33</v>
      </c>
      <c r="D23">
        <v>33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9.7200000000000006</v>
      </c>
      <c r="M23" s="3">
        <v>3.0303030303030303</v>
      </c>
      <c r="N23" s="3">
        <v>13.23</v>
      </c>
      <c r="O23" s="3">
        <v>0</v>
      </c>
      <c r="P23" s="3">
        <v>23.38</v>
      </c>
      <c r="Q23">
        <v>33</v>
      </c>
      <c r="R23" s="3">
        <v>5.1959304466964982</v>
      </c>
      <c r="S23" s="3">
        <v>6.7326139665710301</v>
      </c>
      <c r="T23" s="3">
        <v>0</v>
      </c>
      <c r="U23" s="3">
        <f t="shared" si="0"/>
        <v>0</v>
      </c>
    </row>
    <row r="24" spans="2:21">
      <c r="B24">
        <v>20</v>
      </c>
      <c r="C24">
        <v>35</v>
      </c>
      <c r="D24">
        <v>35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5.7142857142857144</v>
      </c>
      <c r="L24" s="3">
        <v>14.01</v>
      </c>
      <c r="M24" s="3">
        <v>5.7142857142857144</v>
      </c>
      <c r="N24" s="3">
        <v>11.26</v>
      </c>
      <c r="O24" s="3">
        <v>5.7142857142857144</v>
      </c>
      <c r="P24" s="3">
        <v>26.57</v>
      </c>
      <c r="Q24">
        <v>35</v>
      </c>
      <c r="R24" s="3">
        <v>5.1864953749934193</v>
      </c>
      <c r="S24" s="3">
        <v>6.176126597209417</v>
      </c>
      <c r="T24" s="3">
        <v>0</v>
      </c>
      <c r="U24" s="3">
        <f t="shared" si="0"/>
        <v>0</v>
      </c>
    </row>
    <row r="25" spans="2:21">
      <c r="B25">
        <v>21</v>
      </c>
      <c r="C25">
        <v>27</v>
      </c>
      <c r="D25">
        <v>27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3.7037037037037037</v>
      </c>
      <c r="L25" s="3">
        <v>6.4</v>
      </c>
      <c r="M25" s="3">
        <v>0</v>
      </c>
      <c r="N25" s="3">
        <v>15.82</v>
      </c>
      <c r="O25" s="3">
        <v>0</v>
      </c>
      <c r="P25" s="3">
        <v>21.73</v>
      </c>
      <c r="Q25">
        <v>27</v>
      </c>
      <c r="R25" s="3">
        <v>6.3644910729665698</v>
      </c>
      <c r="S25" s="3">
        <v>8.4232311403164584</v>
      </c>
      <c r="T25" s="3">
        <v>0</v>
      </c>
      <c r="U25" s="3">
        <f t="shared" si="0"/>
        <v>0</v>
      </c>
    </row>
    <row r="26" spans="2:21">
      <c r="B26">
        <v>22</v>
      </c>
      <c r="C26">
        <v>34</v>
      </c>
      <c r="D26">
        <v>34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5.882352941176471</v>
      </c>
      <c r="L26" s="3">
        <v>6.17</v>
      </c>
      <c r="M26" s="3">
        <v>0</v>
      </c>
      <c r="N26" s="3">
        <v>14.51</v>
      </c>
      <c r="O26" s="3">
        <v>0</v>
      </c>
      <c r="P26" s="3">
        <v>19.91</v>
      </c>
      <c r="Q26">
        <v>34</v>
      </c>
      <c r="R26" s="3">
        <v>6.5016380752829681</v>
      </c>
      <c r="S26" s="3">
        <v>7.685278512704155</v>
      </c>
      <c r="T26" s="3">
        <v>0</v>
      </c>
      <c r="U26" s="3">
        <f t="shared" si="0"/>
        <v>0</v>
      </c>
    </row>
    <row r="27" spans="2:21">
      <c r="B27">
        <v>23</v>
      </c>
      <c r="C27">
        <v>15</v>
      </c>
      <c r="D27">
        <v>15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13.333333333333334</v>
      </c>
      <c r="L27" s="3">
        <v>4.03</v>
      </c>
      <c r="M27" s="3">
        <v>6.666666666666667</v>
      </c>
      <c r="N27" s="3">
        <v>13.99</v>
      </c>
      <c r="O27" s="3">
        <v>0</v>
      </c>
      <c r="P27" s="3">
        <v>17.32</v>
      </c>
      <c r="Q27">
        <v>15</v>
      </c>
      <c r="R27" s="3">
        <v>7.1177040057383527</v>
      </c>
      <c r="S27" s="3">
        <v>8.9472884829340984</v>
      </c>
      <c r="T27" s="3">
        <v>0</v>
      </c>
      <c r="U27" s="3">
        <f t="shared" si="0"/>
        <v>0</v>
      </c>
    </row>
    <row r="28" spans="2:21">
      <c r="B28">
        <v>24</v>
      </c>
      <c r="C28">
        <v>34</v>
      </c>
      <c r="D28">
        <v>34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4.6100000000000003</v>
      </c>
      <c r="M28" s="3">
        <v>0</v>
      </c>
      <c r="N28" s="3">
        <v>13.8</v>
      </c>
      <c r="O28" s="3">
        <v>0</v>
      </c>
      <c r="P28" s="3">
        <v>17.010000000000002</v>
      </c>
      <c r="Q28">
        <v>34</v>
      </c>
      <c r="R28" s="3">
        <v>7.0168726629112914</v>
      </c>
      <c r="S28" s="3">
        <v>8.8069645250806694</v>
      </c>
      <c r="T28" s="3">
        <v>0</v>
      </c>
      <c r="U28" s="3">
        <f t="shared" si="0"/>
        <v>0</v>
      </c>
    </row>
    <row r="29" spans="2:21">
      <c r="B29">
        <v>25</v>
      </c>
      <c r="C29">
        <v>45</v>
      </c>
      <c r="D29">
        <v>45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8.8888888888888893</v>
      </c>
      <c r="L29" s="3">
        <v>15.31</v>
      </c>
      <c r="M29" s="3">
        <v>0</v>
      </c>
      <c r="N29" s="3">
        <v>14.58</v>
      </c>
      <c r="O29" s="3">
        <v>0</v>
      </c>
      <c r="P29" s="3">
        <v>33.950000000000003</v>
      </c>
      <c r="Q29">
        <v>45</v>
      </c>
      <c r="R29" s="3">
        <v>5.7315344778625956</v>
      </c>
      <c r="S29" s="3">
        <v>19.530900782112944</v>
      </c>
      <c r="T29" s="3">
        <v>0</v>
      </c>
      <c r="U29" s="3">
        <f t="shared" si="0"/>
        <v>0</v>
      </c>
    </row>
    <row r="30" spans="2:21">
      <c r="B30">
        <v>26</v>
      </c>
      <c r="C30">
        <v>80</v>
      </c>
      <c r="D30">
        <v>80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13.75</v>
      </c>
      <c r="L30" s="3">
        <v>16.91</v>
      </c>
      <c r="M30" s="3">
        <v>11.25</v>
      </c>
      <c r="N30" s="3">
        <v>26.03</v>
      </c>
      <c r="O30" s="3">
        <v>0</v>
      </c>
      <c r="P30" s="3">
        <v>38</v>
      </c>
      <c r="Q30">
        <v>80</v>
      </c>
      <c r="R30" s="3">
        <v>5.8227291324032642</v>
      </c>
      <c r="S30" s="3">
        <v>14.860814378336229</v>
      </c>
      <c r="T30" s="3">
        <v>0</v>
      </c>
      <c r="U30" s="3">
        <f t="shared" si="0"/>
        <v>0</v>
      </c>
    </row>
    <row r="31" spans="2:21">
      <c r="B31">
        <v>27</v>
      </c>
      <c r="C31">
        <v>30</v>
      </c>
      <c r="D31">
        <v>30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16.666666666666668</v>
      </c>
      <c r="L31" s="3">
        <v>4.74</v>
      </c>
      <c r="M31" s="3">
        <v>20</v>
      </c>
      <c r="N31" s="3">
        <v>37.979999999999997</v>
      </c>
      <c r="O31" s="3">
        <v>16.666666666666668</v>
      </c>
      <c r="P31" s="3">
        <v>42.98</v>
      </c>
      <c r="Q31">
        <v>30</v>
      </c>
      <c r="R31" s="3">
        <v>7.4736209095025004</v>
      </c>
      <c r="S31" s="3">
        <v>16.024267131763224</v>
      </c>
      <c r="T31" s="3">
        <v>0</v>
      </c>
      <c r="U31" s="3">
        <f t="shared" si="0"/>
        <v>0</v>
      </c>
    </row>
    <row r="32" spans="2:21">
      <c r="B32">
        <v>28</v>
      </c>
      <c r="C32">
        <v>48</v>
      </c>
      <c r="D32">
        <v>48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31.25</v>
      </c>
      <c r="L32" s="3">
        <v>16.760000000000002</v>
      </c>
      <c r="M32" s="3">
        <v>0</v>
      </c>
      <c r="N32" s="3">
        <v>17.57</v>
      </c>
      <c r="O32" s="3">
        <v>0</v>
      </c>
      <c r="P32" s="3">
        <v>35.06</v>
      </c>
      <c r="Q32">
        <v>48</v>
      </c>
      <c r="R32" s="3">
        <v>7.3781195818899716</v>
      </c>
      <c r="S32" s="3">
        <v>13.0182360254736</v>
      </c>
      <c r="T32" s="3">
        <v>0</v>
      </c>
      <c r="U32" s="3">
        <f t="shared" si="0"/>
        <v>0</v>
      </c>
    </row>
    <row r="33" spans="2:21">
      <c r="B33">
        <v>29</v>
      </c>
      <c r="C33">
        <v>26</v>
      </c>
      <c r="D33">
        <v>26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7.6923076923076925</v>
      </c>
      <c r="L33" s="3">
        <v>7.56</v>
      </c>
      <c r="M33" s="3">
        <v>0</v>
      </c>
      <c r="N33" s="3">
        <v>17.690000000000001</v>
      </c>
      <c r="O33" s="3">
        <v>0</v>
      </c>
      <c r="P33" s="3">
        <v>25.29</v>
      </c>
      <c r="Q33">
        <v>26</v>
      </c>
      <c r="R33" s="3">
        <v>8.5544357909976316</v>
      </c>
      <c r="S33" s="3">
        <v>10.91755116440865</v>
      </c>
      <c r="T33" s="3">
        <v>0</v>
      </c>
      <c r="U33" s="3">
        <f t="shared" si="0"/>
        <v>0</v>
      </c>
    </row>
    <row r="34" spans="2:21">
      <c r="B34">
        <v>30</v>
      </c>
      <c r="C34">
        <v>36</v>
      </c>
      <c r="D34">
        <v>36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2.7777777777777777</v>
      </c>
      <c r="L34" s="3">
        <v>5.5</v>
      </c>
      <c r="M34" s="3">
        <v>0</v>
      </c>
      <c r="N34" s="3">
        <v>20.47</v>
      </c>
      <c r="O34" s="3">
        <v>0</v>
      </c>
      <c r="P34" s="3">
        <v>26.94</v>
      </c>
      <c r="Q34">
        <v>36</v>
      </c>
      <c r="R34" s="3">
        <v>8.3157357169255075</v>
      </c>
      <c r="S34" s="3">
        <v>10.590835055039719</v>
      </c>
      <c r="T34" s="3">
        <v>0</v>
      </c>
      <c r="U34" s="3">
        <f t="shared" si="0"/>
        <v>0</v>
      </c>
    </row>
    <row r="35" spans="2:21">
      <c r="B35">
        <v>31</v>
      </c>
      <c r="C35">
        <v>24</v>
      </c>
      <c r="D35">
        <v>24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3.51</v>
      </c>
      <c r="M35" s="3">
        <v>0</v>
      </c>
      <c r="N35" s="3">
        <v>22.55</v>
      </c>
      <c r="O35" s="3">
        <v>0</v>
      </c>
      <c r="P35" s="3">
        <v>27.8</v>
      </c>
      <c r="Q35">
        <v>24</v>
      </c>
      <c r="R35" s="3">
        <v>9.860238546249013</v>
      </c>
      <c r="S35" s="3">
        <v>13.08772573310406</v>
      </c>
      <c r="T35" s="3">
        <v>0</v>
      </c>
      <c r="U35" s="3">
        <f t="shared" si="0"/>
        <v>0</v>
      </c>
    </row>
    <row r="36" spans="2:21">
      <c r="B36">
        <v>32</v>
      </c>
      <c r="C36">
        <v>37</v>
      </c>
      <c r="D36">
        <v>37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7.03</v>
      </c>
      <c r="M36" s="3">
        <v>0</v>
      </c>
      <c r="N36" s="3">
        <v>19.190000000000001</v>
      </c>
      <c r="O36" s="3">
        <v>0</v>
      </c>
      <c r="P36" s="3">
        <v>26.22</v>
      </c>
      <c r="Q36">
        <v>37</v>
      </c>
      <c r="R36" s="3">
        <v>9.772620719241905</v>
      </c>
      <c r="S36" s="3">
        <v>11.878417652573926</v>
      </c>
      <c r="T36" s="3">
        <v>0</v>
      </c>
      <c r="U36" s="3">
        <f t="shared" si="0"/>
        <v>0</v>
      </c>
    </row>
    <row r="37" spans="2:21">
      <c r="B37">
        <v>33</v>
      </c>
      <c r="C37">
        <v>37</v>
      </c>
      <c r="D37">
        <v>37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10.88</v>
      </c>
      <c r="M37" s="3">
        <v>5.4054054054054053</v>
      </c>
      <c r="N37" s="3">
        <v>10.08</v>
      </c>
      <c r="O37" s="3">
        <v>0</v>
      </c>
      <c r="P37" s="3">
        <v>20.46</v>
      </c>
      <c r="Q37">
        <v>37</v>
      </c>
      <c r="R37" s="3">
        <v>3.1607610331139768</v>
      </c>
      <c r="S37" s="3">
        <v>4.6018119706828866</v>
      </c>
      <c r="T37" s="3">
        <v>0</v>
      </c>
      <c r="U37" s="3">
        <f t="shared" si="0"/>
        <v>0</v>
      </c>
    </row>
    <row r="38" spans="2:21">
      <c r="B38">
        <v>34</v>
      </c>
      <c r="C38">
        <v>48</v>
      </c>
      <c r="D38">
        <v>48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10.09</v>
      </c>
      <c r="M38" s="3">
        <v>2.0833333333333335</v>
      </c>
      <c r="N38" s="3">
        <v>10.73</v>
      </c>
      <c r="O38" s="3">
        <v>0</v>
      </c>
      <c r="P38" s="3">
        <v>21.9</v>
      </c>
      <c r="Q38">
        <v>48</v>
      </c>
      <c r="R38" s="3">
        <v>3.2019908127401946</v>
      </c>
      <c r="S38" s="3">
        <v>4.4842616383983254</v>
      </c>
      <c r="T38" s="3">
        <v>0</v>
      </c>
      <c r="U38" s="3">
        <f t="shared" si="0"/>
        <v>0</v>
      </c>
    </row>
    <row r="39" spans="2:21">
      <c r="B39">
        <v>35</v>
      </c>
      <c r="C39">
        <v>24</v>
      </c>
      <c r="D39">
        <v>24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16.666666666666668</v>
      </c>
      <c r="L39" s="3">
        <v>2.61</v>
      </c>
      <c r="M39" s="3">
        <v>8.3333333333333339</v>
      </c>
      <c r="N39" s="3">
        <v>10.029999999999999</v>
      </c>
      <c r="O39" s="3">
        <v>8.3333333333333339</v>
      </c>
      <c r="P39" s="3">
        <v>13.01</v>
      </c>
      <c r="Q39">
        <v>24</v>
      </c>
      <c r="R39" s="3">
        <v>4.4658264755461961</v>
      </c>
      <c r="S39" s="3">
        <v>5.1642913401644561</v>
      </c>
      <c r="T39" s="3">
        <v>0</v>
      </c>
      <c r="U39" s="3">
        <f t="shared" si="0"/>
        <v>0</v>
      </c>
    </row>
    <row r="40" spans="2:21">
      <c r="B40">
        <v>36</v>
      </c>
      <c r="C40">
        <v>33</v>
      </c>
      <c r="D40">
        <v>33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45.454545454545453</v>
      </c>
      <c r="L40" s="3">
        <v>3.06</v>
      </c>
      <c r="M40" s="3">
        <v>0</v>
      </c>
      <c r="N40" s="3">
        <v>11.06</v>
      </c>
      <c r="O40" s="3">
        <v>0</v>
      </c>
      <c r="P40" s="3">
        <v>15.86</v>
      </c>
      <c r="Q40">
        <v>33</v>
      </c>
      <c r="R40" s="3">
        <v>4.5814501770992369</v>
      </c>
      <c r="S40" s="3">
        <v>5.7617141099062614</v>
      </c>
      <c r="T40" s="3">
        <v>0</v>
      </c>
      <c r="U40" s="3">
        <f t="shared" si="0"/>
        <v>0</v>
      </c>
    </row>
    <row r="41" spans="2:21">
      <c r="B41">
        <v>37</v>
      </c>
      <c r="C41">
        <v>21</v>
      </c>
      <c r="D41">
        <v>21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4.3</v>
      </c>
      <c r="M41" s="3">
        <v>0</v>
      </c>
      <c r="N41" s="3">
        <v>11.14</v>
      </c>
      <c r="O41" s="3">
        <v>0</v>
      </c>
      <c r="P41" s="3">
        <v>16.510000000000002</v>
      </c>
      <c r="Q41">
        <v>21</v>
      </c>
      <c r="R41" s="3">
        <v>5.9137380789155038</v>
      </c>
      <c r="S41" s="3">
        <v>7.7859256920860664</v>
      </c>
      <c r="T41" s="3">
        <v>0</v>
      </c>
      <c r="U41" s="3">
        <f t="shared" si="0"/>
        <v>0</v>
      </c>
    </row>
    <row r="42" spans="2:21">
      <c r="B42">
        <v>38</v>
      </c>
      <c r="C42">
        <v>33</v>
      </c>
      <c r="D42">
        <v>33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9.0909090909090917</v>
      </c>
      <c r="L42" s="3">
        <v>5.57</v>
      </c>
      <c r="M42" s="3">
        <v>0</v>
      </c>
      <c r="N42" s="3">
        <v>12.8</v>
      </c>
      <c r="O42" s="3">
        <v>0</v>
      </c>
      <c r="P42" s="3">
        <v>19.23</v>
      </c>
      <c r="Q42">
        <v>33</v>
      </c>
      <c r="R42" s="3">
        <v>5.7658992290602784</v>
      </c>
      <c r="S42" s="3">
        <v>7.4822556774815085</v>
      </c>
      <c r="T42" s="3">
        <v>0</v>
      </c>
      <c r="U42" s="3">
        <f t="shared" si="0"/>
        <v>0</v>
      </c>
    </row>
    <row r="43" spans="2:21">
      <c r="B43">
        <v>39</v>
      </c>
      <c r="C43">
        <v>13</v>
      </c>
      <c r="D43">
        <v>13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3.01</v>
      </c>
      <c r="M43" s="3">
        <v>0</v>
      </c>
      <c r="N43" s="3">
        <v>11.97</v>
      </c>
      <c r="O43" s="3">
        <v>0</v>
      </c>
      <c r="P43" s="3">
        <v>14.66</v>
      </c>
      <c r="Q43">
        <v>13</v>
      </c>
      <c r="R43" s="3">
        <v>6.346259544406422</v>
      </c>
      <c r="S43" s="3">
        <v>8.141642741449056</v>
      </c>
      <c r="T43" s="3">
        <v>0</v>
      </c>
      <c r="U43" s="3">
        <f t="shared" si="0"/>
        <v>0</v>
      </c>
    </row>
    <row r="44" spans="2:21">
      <c r="B44">
        <v>40</v>
      </c>
      <c r="C44">
        <v>37</v>
      </c>
      <c r="D44">
        <v>37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4.29</v>
      </c>
      <c r="M44" s="3">
        <v>0</v>
      </c>
      <c r="N44" s="3">
        <v>10.49</v>
      </c>
      <c r="O44" s="3">
        <v>0</v>
      </c>
      <c r="P44" s="3">
        <v>15.3</v>
      </c>
      <c r="Q44">
        <v>37</v>
      </c>
      <c r="R44" s="3">
        <v>6.4412884853382462</v>
      </c>
      <c r="S44" s="3">
        <v>8.1629518450922465</v>
      </c>
      <c r="T44" s="3">
        <v>0</v>
      </c>
      <c r="U44" s="3">
        <f t="shared" si="0"/>
        <v>0</v>
      </c>
    </row>
    <row r="45" spans="2:21">
      <c r="B45">
        <v>41</v>
      </c>
      <c r="C45">
        <v>37</v>
      </c>
      <c r="D45">
        <v>37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2.7027027027027026</v>
      </c>
      <c r="L45" s="3">
        <v>9.6300000000000008</v>
      </c>
      <c r="M45" s="3">
        <v>24.324324324324323</v>
      </c>
      <c r="N45" s="3">
        <v>30.96</v>
      </c>
      <c r="O45" s="3">
        <v>2.7027027027027026</v>
      </c>
      <c r="P45" s="3">
        <v>31.54</v>
      </c>
      <c r="Q45">
        <v>37</v>
      </c>
      <c r="R45" s="3">
        <v>6.3994957376678068</v>
      </c>
      <c r="S45" s="3">
        <v>14.998553749133663</v>
      </c>
      <c r="T45" s="3">
        <v>0</v>
      </c>
      <c r="U45" s="3">
        <f t="shared" si="0"/>
        <v>0</v>
      </c>
    </row>
    <row r="46" spans="2:21">
      <c r="B46">
        <v>42</v>
      </c>
      <c r="C46">
        <v>53</v>
      </c>
      <c r="D46">
        <v>53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10.61</v>
      </c>
      <c r="M46" s="3">
        <v>5.6603773584905657</v>
      </c>
      <c r="N46" s="3">
        <v>20.46</v>
      </c>
      <c r="O46" s="3">
        <v>0</v>
      </c>
      <c r="P46" s="3">
        <v>25.6</v>
      </c>
      <c r="Q46">
        <v>53</v>
      </c>
      <c r="R46" s="3">
        <v>6.386306896341142</v>
      </c>
      <c r="S46" s="3">
        <v>9.2992900432677903</v>
      </c>
      <c r="T46" s="3">
        <v>0</v>
      </c>
      <c r="U46" s="3">
        <f t="shared" si="0"/>
        <v>0</v>
      </c>
    </row>
    <row r="47" spans="2:21">
      <c r="B47">
        <v>43</v>
      </c>
      <c r="C47">
        <v>35</v>
      </c>
      <c r="D47">
        <v>35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2.8571428571428572</v>
      </c>
      <c r="L47" s="3">
        <v>8.4700000000000006</v>
      </c>
      <c r="M47" s="3">
        <v>28.571428571428573</v>
      </c>
      <c r="N47" s="3">
        <v>23.58</v>
      </c>
      <c r="O47" s="3">
        <v>0</v>
      </c>
      <c r="P47" s="3">
        <v>33.97</v>
      </c>
      <c r="Q47">
        <v>35</v>
      </c>
      <c r="R47" s="3">
        <v>8.0010044384311652</v>
      </c>
      <c r="S47" s="3">
        <v>14.296720319247337</v>
      </c>
      <c r="T47" s="3">
        <v>0</v>
      </c>
      <c r="U47" s="3">
        <f t="shared" si="0"/>
        <v>0</v>
      </c>
    </row>
    <row r="48" spans="2:21">
      <c r="B48">
        <v>44</v>
      </c>
      <c r="C48">
        <v>38</v>
      </c>
      <c r="D48">
        <v>38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2.6315789473684212</v>
      </c>
      <c r="L48" s="3">
        <v>5.01</v>
      </c>
      <c r="M48" s="3">
        <v>2.6315789473684212</v>
      </c>
      <c r="N48" s="3">
        <v>18.72</v>
      </c>
      <c r="O48" s="3">
        <v>0</v>
      </c>
      <c r="P48" s="3">
        <v>24.92</v>
      </c>
      <c r="Q48">
        <v>38</v>
      </c>
      <c r="R48" s="3">
        <v>7.8317653356146364</v>
      </c>
      <c r="S48" s="3">
        <v>9.9414581377652436</v>
      </c>
      <c r="T48" s="3">
        <v>0</v>
      </c>
      <c r="U48" s="3">
        <f t="shared" si="0"/>
        <v>0</v>
      </c>
    </row>
    <row r="49" spans="2:21">
      <c r="B49">
        <v>45</v>
      </c>
      <c r="C49">
        <v>21</v>
      </c>
      <c r="D49">
        <v>21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42.857142857142854</v>
      </c>
      <c r="L49" s="3">
        <v>5.18</v>
      </c>
      <c r="M49" s="3">
        <v>33.333333333333336</v>
      </c>
      <c r="N49" s="3">
        <v>26.22</v>
      </c>
      <c r="O49" s="3">
        <v>0</v>
      </c>
      <c r="P49" s="3">
        <v>32.61</v>
      </c>
      <c r="Q49">
        <v>21</v>
      </c>
      <c r="R49" s="3">
        <v>9.5505220338510135</v>
      </c>
      <c r="S49" s="3">
        <v>11.762275335819471</v>
      </c>
      <c r="T49" s="3">
        <v>0</v>
      </c>
      <c r="U49" s="3">
        <f t="shared" si="0"/>
        <v>0</v>
      </c>
    </row>
    <row r="50" spans="2:21">
      <c r="B50">
        <v>46</v>
      </c>
      <c r="C50">
        <v>18</v>
      </c>
      <c r="D50">
        <v>18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6.31</v>
      </c>
      <c r="M50" s="3">
        <v>5.5555555555555554</v>
      </c>
      <c r="N50" s="3">
        <v>16.600000000000001</v>
      </c>
      <c r="O50" s="3">
        <v>0</v>
      </c>
      <c r="P50" s="3">
        <v>25.42</v>
      </c>
      <c r="Q50">
        <v>18</v>
      </c>
      <c r="R50" s="3">
        <v>9.5269897098710192</v>
      </c>
      <c r="S50" s="3">
        <v>11.973594548420428</v>
      </c>
      <c r="T50" s="3">
        <v>0</v>
      </c>
      <c r="U50" s="3">
        <f t="shared" si="0"/>
        <v>0</v>
      </c>
    </row>
    <row r="51" spans="2:21">
      <c r="B51">
        <v>47</v>
      </c>
      <c r="C51">
        <v>24</v>
      </c>
      <c r="D51">
        <v>24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11.06</v>
      </c>
      <c r="M51" s="3">
        <v>0</v>
      </c>
      <c r="N51" s="3">
        <v>22.86</v>
      </c>
      <c r="O51" s="3">
        <v>0</v>
      </c>
      <c r="P51" s="3">
        <v>32.1</v>
      </c>
      <c r="Q51">
        <v>24</v>
      </c>
      <c r="R51" s="3">
        <v>11.110937638694393</v>
      </c>
      <c r="S51" s="3">
        <v>13.143845098650621</v>
      </c>
      <c r="T51" s="3">
        <v>0</v>
      </c>
      <c r="U51" s="3">
        <f t="shared" si="0"/>
        <v>0</v>
      </c>
    </row>
    <row r="52" spans="2:21">
      <c r="B52">
        <v>48</v>
      </c>
      <c r="C52">
        <v>37</v>
      </c>
      <c r="D52">
        <v>37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10.130000000000001</v>
      </c>
      <c r="M52" s="3">
        <v>0</v>
      </c>
      <c r="N52" s="3">
        <v>25.1</v>
      </c>
      <c r="O52" s="3">
        <v>0</v>
      </c>
      <c r="P52" s="3">
        <v>36.78</v>
      </c>
      <c r="Q52">
        <v>37</v>
      </c>
      <c r="R52" s="3">
        <v>11.046458967096603</v>
      </c>
      <c r="S52" s="3">
        <v>14.888155733230519</v>
      </c>
      <c r="T52" s="3">
        <v>0</v>
      </c>
      <c r="U52" s="3">
        <f t="shared" si="0"/>
        <v>0</v>
      </c>
    </row>
    <row r="53" spans="2:21">
      <c r="B53">
        <v>49</v>
      </c>
      <c r="C53">
        <v>40</v>
      </c>
      <c r="D53">
        <v>40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21.47</v>
      </c>
      <c r="M53" s="3">
        <v>2.5</v>
      </c>
      <c r="N53" s="3">
        <v>35.33</v>
      </c>
      <c r="O53" s="3">
        <v>0</v>
      </c>
      <c r="P53" s="3">
        <v>83.74</v>
      </c>
      <c r="Q53">
        <v>40</v>
      </c>
      <c r="R53" s="3">
        <v>9.3856970680178993</v>
      </c>
      <c r="S53" s="3">
        <v>24.494986092175047</v>
      </c>
      <c r="T53" s="3">
        <v>0</v>
      </c>
      <c r="U53" s="3">
        <f t="shared" si="0"/>
        <v>0</v>
      </c>
    </row>
    <row r="54" spans="2:21">
      <c r="B54">
        <v>50</v>
      </c>
      <c r="C54">
        <v>57</v>
      </c>
      <c r="D54">
        <v>57</v>
      </c>
      <c r="E54" s="3">
        <v>0</v>
      </c>
      <c r="F54" s="3">
        <v>0</v>
      </c>
      <c r="G54" s="3">
        <v>3.5087719298245612</v>
      </c>
      <c r="H54" s="3">
        <v>15.789473684210526</v>
      </c>
      <c r="I54" s="3">
        <v>0</v>
      </c>
      <c r="J54" s="3">
        <v>0</v>
      </c>
      <c r="K54" s="3">
        <v>3.5087719298245612</v>
      </c>
      <c r="L54" s="3">
        <v>16.149999999999999</v>
      </c>
      <c r="M54" s="3">
        <v>3.5087719298245612</v>
      </c>
      <c r="N54" s="3">
        <v>35.86</v>
      </c>
      <c r="O54" s="3">
        <v>3.5087719298245612</v>
      </c>
      <c r="P54" s="3">
        <v>49.09</v>
      </c>
      <c r="Q54">
        <v>57</v>
      </c>
      <c r="R54" s="3">
        <v>9.3712592428007362</v>
      </c>
      <c r="S54" s="3">
        <v>22.777413819582396</v>
      </c>
      <c r="T54" s="3">
        <v>0</v>
      </c>
      <c r="U54" s="3">
        <f t="shared" si="0"/>
        <v>0</v>
      </c>
    </row>
    <row r="55" spans="2:21">
      <c r="B55">
        <v>51</v>
      </c>
      <c r="C55">
        <v>40</v>
      </c>
      <c r="D55">
        <v>40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5</v>
      </c>
      <c r="L55" s="3">
        <v>13.59</v>
      </c>
      <c r="M55" s="3">
        <v>0</v>
      </c>
      <c r="N55" s="3">
        <v>29.53</v>
      </c>
      <c r="O55" s="3">
        <v>0</v>
      </c>
      <c r="P55" s="3">
        <v>41.5</v>
      </c>
      <c r="Q55">
        <v>40</v>
      </c>
      <c r="R55" s="3">
        <v>13.425642763411425</v>
      </c>
      <c r="S55" s="3">
        <v>23.354689350062905</v>
      </c>
      <c r="T55" s="3">
        <v>0</v>
      </c>
      <c r="U55" s="3">
        <f t="shared" si="0"/>
        <v>0</v>
      </c>
    </row>
    <row r="56" spans="2:21">
      <c r="B56">
        <v>52</v>
      </c>
      <c r="C56">
        <v>53</v>
      </c>
      <c r="D56">
        <v>53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6.53</v>
      </c>
      <c r="M56" s="3">
        <v>0</v>
      </c>
      <c r="N56" s="3">
        <v>27.91</v>
      </c>
      <c r="O56" s="3">
        <v>0</v>
      </c>
      <c r="P56" s="3">
        <v>37.14</v>
      </c>
      <c r="Q56">
        <v>53</v>
      </c>
      <c r="R56" s="3">
        <v>12.614019136404316</v>
      </c>
      <c r="S56" s="3">
        <v>24.423676568980447</v>
      </c>
      <c r="T56" s="3">
        <v>0</v>
      </c>
      <c r="U56" s="3">
        <f t="shared" si="0"/>
        <v>0</v>
      </c>
    </row>
    <row r="57" spans="2:21">
      <c r="B57">
        <v>53</v>
      </c>
      <c r="C57">
        <v>25</v>
      </c>
      <c r="D57">
        <v>25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17.8</v>
      </c>
      <c r="M57" s="3">
        <v>0</v>
      </c>
      <c r="N57" s="3">
        <v>29.64</v>
      </c>
      <c r="O57" s="3">
        <v>0</v>
      </c>
      <c r="P57" s="3">
        <v>46.92</v>
      </c>
      <c r="Q57">
        <v>25</v>
      </c>
      <c r="R57" s="3">
        <v>16.852484441537246</v>
      </c>
      <c r="S57" s="3">
        <v>26.808926090437282</v>
      </c>
      <c r="T57" s="3">
        <v>0</v>
      </c>
      <c r="U57" s="3">
        <f t="shared" si="0"/>
        <v>0</v>
      </c>
    </row>
    <row r="58" spans="2:21">
      <c r="B58">
        <v>54</v>
      </c>
      <c r="C58">
        <v>38</v>
      </c>
      <c r="D58">
        <v>38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4.8099999999999996</v>
      </c>
      <c r="M58" s="3">
        <v>0</v>
      </c>
      <c r="N58" s="3">
        <v>28.44</v>
      </c>
      <c r="O58" s="3">
        <v>0</v>
      </c>
      <c r="P58" s="3">
        <v>33.159999999999997</v>
      </c>
      <c r="Q58">
        <v>38</v>
      </c>
      <c r="R58" s="3">
        <v>16.477485388523295</v>
      </c>
      <c r="S58" s="3">
        <v>23.198778915731609</v>
      </c>
      <c r="T58" s="3">
        <v>0</v>
      </c>
      <c r="U58" s="3">
        <f t="shared" si="0"/>
        <v>0</v>
      </c>
    </row>
    <row r="59" spans="2:21">
      <c r="B59">
        <v>55</v>
      </c>
      <c r="C59">
        <v>25</v>
      </c>
      <c r="D59">
        <v>25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56</v>
      </c>
      <c r="L59" s="3">
        <v>5.04</v>
      </c>
      <c r="M59" s="3">
        <v>0</v>
      </c>
      <c r="N59" s="3">
        <v>31.12</v>
      </c>
      <c r="O59" s="3">
        <v>0</v>
      </c>
      <c r="P59" s="3">
        <v>34.450000000000003</v>
      </c>
      <c r="Q59">
        <v>25</v>
      </c>
      <c r="R59" s="3">
        <v>20.506832090392209</v>
      </c>
      <c r="S59" s="3">
        <v>25.369739155544643</v>
      </c>
      <c r="T59" s="3">
        <v>0</v>
      </c>
      <c r="U59" s="3">
        <f t="shared" si="0"/>
        <v>0</v>
      </c>
    </row>
    <row r="60" spans="2:21">
      <c r="B60">
        <v>56</v>
      </c>
      <c r="C60">
        <v>18</v>
      </c>
      <c r="D60">
        <v>18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5.25</v>
      </c>
      <c r="M60" s="3">
        <v>0</v>
      </c>
      <c r="N60" s="3">
        <v>28.07</v>
      </c>
      <c r="O60" s="3">
        <v>0</v>
      </c>
      <c r="P60" s="3">
        <v>34.61</v>
      </c>
      <c r="Q60">
        <v>18</v>
      </c>
      <c r="R60" s="3">
        <v>20.186002965411951</v>
      </c>
      <c r="S60" s="3">
        <v>24.532880984032946</v>
      </c>
      <c r="T60" s="3">
        <v>0</v>
      </c>
      <c r="U60" s="3">
        <f t="shared" si="0"/>
        <v>0</v>
      </c>
    </row>
    <row r="61" spans="2:21">
      <c r="B61">
        <v>57</v>
      </c>
      <c r="C61">
        <v>49</v>
      </c>
      <c r="D61">
        <v>67.42</v>
      </c>
      <c r="E61" s="3">
        <v>33.254227232275291</v>
      </c>
      <c r="F61" s="3">
        <v>37.591836734693885</v>
      </c>
      <c r="G61" s="3">
        <v>27.321269652921984</v>
      </c>
      <c r="H61" s="3">
        <v>42.857142857142854</v>
      </c>
      <c r="I61" s="3">
        <v>30.287748442598637</v>
      </c>
      <c r="J61" s="3">
        <v>681.63265306122446</v>
      </c>
      <c r="K61" s="3">
        <v>2.0408163265306123</v>
      </c>
      <c r="L61" s="3">
        <v>34.11</v>
      </c>
      <c r="M61" s="3">
        <v>2.0408163265306123</v>
      </c>
      <c r="N61" s="3">
        <v>71.16</v>
      </c>
      <c r="O61" s="3">
        <v>0</v>
      </c>
      <c r="P61" s="3">
        <v>192.28</v>
      </c>
      <c r="Q61">
        <v>49</v>
      </c>
      <c r="R61" s="3">
        <v>14.069523341089759</v>
      </c>
      <c r="S61" s="3">
        <v>235.51330136223567</v>
      </c>
      <c r="T61" s="3">
        <v>0</v>
      </c>
      <c r="U61" s="4">
        <f t="shared" si="0"/>
        <v>-27.321269652921984</v>
      </c>
    </row>
    <row r="62" spans="2:21">
      <c r="B62">
        <v>58</v>
      </c>
      <c r="C62">
        <v>73</v>
      </c>
      <c r="D62">
        <v>73</v>
      </c>
      <c r="E62" s="3">
        <v>0</v>
      </c>
      <c r="F62" s="3">
        <v>0</v>
      </c>
      <c r="G62" s="3">
        <v>0</v>
      </c>
      <c r="H62" s="3">
        <v>42.465753424657535</v>
      </c>
      <c r="I62" s="3">
        <v>2.7397260273972601</v>
      </c>
      <c r="J62" s="3">
        <v>575.34246575342468</v>
      </c>
      <c r="K62" s="3">
        <v>0</v>
      </c>
      <c r="L62" s="3">
        <v>23.63</v>
      </c>
      <c r="M62" s="3">
        <v>0</v>
      </c>
      <c r="N62" s="3">
        <v>89.62</v>
      </c>
      <c r="O62" s="3">
        <v>0</v>
      </c>
      <c r="P62" s="3">
        <v>153.32</v>
      </c>
      <c r="Q62">
        <v>73</v>
      </c>
      <c r="R62" s="3">
        <v>13.888095038589103</v>
      </c>
      <c r="S62" s="3">
        <v>54.040716631659109</v>
      </c>
      <c r="T62" s="3">
        <v>0</v>
      </c>
      <c r="U62" s="3">
        <f t="shared" si="0"/>
        <v>0</v>
      </c>
    </row>
    <row r="63" spans="2:21">
      <c r="B63">
        <v>59</v>
      </c>
      <c r="C63">
        <v>38</v>
      </c>
      <c r="D63">
        <v>38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10.526315789473685</v>
      </c>
      <c r="L63" s="3">
        <v>13.77</v>
      </c>
      <c r="M63" s="3">
        <v>2.6315789473684212</v>
      </c>
      <c r="N63" s="3">
        <v>40.270000000000003</v>
      </c>
      <c r="O63" s="3">
        <v>0</v>
      </c>
      <c r="P63" s="3">
        <v>67.540000000000006</v>
      </c>
      <c r="Q63">
        <v>38</v>
      </c>
      <c r="R63" s="3">
        <v>20.360338000421162</v>
      </c>
      <c r="S63" s="3">
        <v>35.464352073277702</v>
      </c>
      <c r="T63" s="3">
        <v>0</v>
      </c>
      <c r="U63" s="3">
        <f t="shared" si="0"/>
        <v>0</v>
      </c>
    </row>
    <row r="64" spans="2:21">
      <c r="B64">
        <v>60</v>
      </c>
      <c r="C64">
        <v>51</v>
      </c>
      <c r="D64">
        <v>51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22.81</v>
      </c>
      <c r="M64" s="3">
        <v>3.9215686274509802</v>
      </c>
      <c r="N64" s="3">
        <v>56.14</v>
      </c>
      <c r="O64" s="3">
        <v>0</v>
      </c>
      <c r="P64" s="3">
        <v>96.11</v>
      </c>
      <c r="Q64">
        <v>51</v>
      </c>
      <c r="R64" s="3">
        <v>20.594746011318765</v>
      </c>
      <c r="S64" s="3">
        <v>43.49503018674659</v>
      </c>
      <c r="T64" s="3">
        <v>0</v>
      </c>
      <c r="U64" s="3">
        <f t="shared" si="0"/>
        <v>0</v>
      </c>
    </row>
    <row r="65" spans="2:21">
      <c r="B65">
        <v>61</v>
      </c>
      <c r="C65">
        <v>39</v>
      </c>
      <c r="D65">
        <v>39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2.5641025641025643</v>
      </c>
      <c r="L65" s="3">
        <v>13.38</v>
      </c>
      <c r="M65" s="3">
        <v>2.5641025641025643</v>
      </c>
      <c r="N65" s="3">
        <v>39.590000000000003</v>
      </c>
      <c r="O65" s="3">
        <v>2.5641025641025643</v>
      </c>
      <c r="P65" s="3">
        <v>53.49</v>
      </c>
      <c r="Q65">
        <v>39</v>
      </c>
      <c r="R65" s="3">
        <v>27.690689061963674</v>
      </c>
      <c r="S65" s="3">
        <v>35.061256346309705</v>
      </c>
      <c r="T65" s="3">
        <v>0</v>
      </c>
      <c r="U65" s="3">
        <f t="shared" si="0"/>
        <v>0</v>
      </c>
    </row>
    <row r="66" spans="2:21">
      <c r="B66">
        <v>62</v>
      </c>
      <c r="C66">
        <v>37</v>
      </c>
      <c r="D66">
        <v>37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17.98</v>
      </c>
      <c r="M66" s="3">
        <v>0</v>
      </c>
      <c r="N66" s="3">
        <v>41.9</v>
      </c>
      <c r="O66" s="3">
        <v>0</v>
      </c>
      <c r="P66" s="3">
        <v>61.29</v>
      </c>
      <c r="Q66">
        <v>37</v>
      </c>
      <c r="R66" s="3">
        <v>27.72084551339826</v>
      </c>
      <c r="S66" s="3">
        <v>40.34938183957938</v>
      </c>
      <c r="T66" s="3">
        <v>0</v>
      </c>
      <c r="U66" s="3">
        <f t="shared" si="0"/>
        <v>0</v>
      </c>
    </row>
    <row r="67" spans="2:21">
      <c r="B67">
        <v>63</v>
      </c>
      <c r="C67">
        <v>26</v>
      </c>
      <c r="D67">
        <v>26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14.98</v>
      </c>
      <c r="M67" s="3">
        <v>11.538461538461538</v>
      </c>
      <c r="N67" s="3">
        <v>49.41</v>
      </c>
      <c r="O67" s="3">
        <v>0</v>
      </c>
      <c r="P67" s="3">
        <v>75</v>
      </c>
      <c r="Q67">
        <v>26</v>
      </c>
      <c r="R67" s="3">
        <v>34.687175398789158</v>
      </c>
      <c r="S67" s="3">
        <v>40.797712871418696</v>
      </c>
      <c r="T67" s="3">
        <v>0</v>
      </c>
      <c r="U67" s="3">
        <f t="shared" si="0"/>
        <v>0</v>
      </c>
    </row>
    <row r="68" spans="2:21">
      <c r="B68">
        <v>64</v>
      </c>
      <c r="C68">
        <v>33</v>
      </c>
      <c r="D68">
        <v>33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12.82</v>
      </c>
      <c r="M68" s="3">
        <v>0</v>
      </c>
      <c r="N68" s="3">
        <v>53.83</v>
      </c>
      <c r="O68" s="3">
        <v>0</v>
      </c>
      <c r="P68" s="3">
        <v>66.099999999999994</v>
      </c>
      <c r="Q68">
        <v>33</v>
      </c>
      <c r="R68" s="3">
        <v>35.00534260047381</v>
      </c>
      <c r="S68" s="3">
        <v>42.607973436268644</v>
      </c>
      <c r="T68" s="3">
        <v>0</v>
      </c>
      <c r="U68" s="3">
        <f t="shared" si="0"/>
        <v>0</v>
      </c>
    </row>
    <row r="69" spans="2:21">
      <c r="B69">
        <v>65</v>
      </c>
      <c r="C69">
        <v>36</v>
      </c>
      <c r="D69">
        <v>36</v>
      </c>
      <c r="E69" s="3">
        <v>0</v>
      </c>
      <c r="F69" s="3">
        <v>0</v>
      </c>
      <c r="G69" s="3">
        <v>0</v>
      </c>
      <c r="H69" s="3">
        <v>22.222222222222221</v>
      </c>
      <c r="I69" s="3">
        <v>0</v>
      </c>
      <c r="J69" s="3">
        <v>0</v>
      </c>
      <c r="K69" s="3">
        <v>5.5555555555555554</v>
      </c>
      <c r="L69" s="3">
        <v>11.47</v>
      </c>
      <c r="M69" s="3">
        <v>27.777777777777779</v>
      </c>
      <c r="N69" s="3">
        <v>19.760000000000002</v>
      </c>
      <c r="O69" s="3">
        <v>0</v>
      </c>
      <c r="P69" s="3">
        <v>32.72</v>
      </c>
      <c r="Q69">
        <v>36</v>
      </c>
      <c r="R69" s="3">
        <v>7.2706904094235325</v>
      </c>
      <c r="S69" s="3">
        <v>20.477290022087637</v>
      </c>
      <c r="T69" s="3">
        <v>0</v>
      </c>
      <c r="U69" s="3">
        <f t="shared" si="0"/>
        <v>0</v>
      </c>
    </row>
    <row r="70" spans="2:21">
      <c r="B70">
        <v>66</v>
      </c>
      <c r="C70">
        <v>53</v>
      </c>
      <c r="D70">
        <v>53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5.6603773584905657</v>
      </c>
      <c r="L70" s="3">
        <v>11.65</v>
      </c>
      <c r="M70" s="3">
        <v>5.6603773584905657</v>
      </c>
      <c r="N70" s="3">
        <v>16.03</v>
      </c>
      <c r="O70" s="3">
        <v>0</v>
      </c>
      <c r="P70" s="3">
        <v>29.69</v>
      </c>
      <c r="Q70">
        <v>53</v>
      </c>
      <c r="R70" s="3">
        <v>7.4226774961305599</v>
      </c>
      <c r="S70" s="3">
        <v>16.197537414523651</v>
      </c>
      <c r="T70" s="3">
        <v>0</v>
      </c>
      <c r="U70" s="3">
        <f t="shared" ref="U70:U133" si="1">100*(Q70-D70)/D70</f>
        <v>0</v>
      </c>
    </row>
    <row r="71" spans="2:21">
      <c r="B71">
        <v>67</v>
      </c>
      <c r="C71">
        <v>22</v>
      </c>
      <c r="D71">
        <v>22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4.5454545454545459</v>
      </c>
      <c r="L71" s="3">
        <v>5.03</v>
      </c>
      <c r="M71" s="3">
        <v>0</v>
      </c>
      <c r="N71" s="3">
        <v>16.68</v>
      </c>
      <c r="O71" s="3">
        <v>0</v>
      </c>
      <c r="P71" s="3">
        <v>24.08</v>
      </c>
      <c r="Q71">
        <v>22</v>
      </c>
      <c r="R71" s="3">
        <v>8.9386124568570686</v>
      </c>
      <c r="S71" s="3">
        <v>11.146141982574319</v>
      </c>
      <c r="T71" s="3">
        <v>0</v>
      </c>
      <c r="U71" s="3">
        <f t="shared" si="1"/>
        <v>0</v>
      </c>
    </row>
    <row r="72" spans="2:21">
      <c r="B72">
        <v>68</v>
      </c>
      <c r="C72">
        <v>34</v>
      </c>
      <c r="D72">
        <v>34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2.9411764705882355</v>
      </c>
      <c r="L72" s="3">
        <v>16.97</v>
      </c>
      <c r="M72" s="3">
        <v>5.882352941176471</v>
      </c>
      <c r="N72" s="3">
        <v>14.29</v>
      </c>
      <c r="O72" s="3">
        <v>0</v>
      </c>
      <c r="P72" s="3">
        <v>33.39</v>
      </c>
      <c r="Q72">
        <v>34</v>
      </c>
      <c r="R72" s="3">
        <v>9.0814878375888384</v>
      </c>
      <c r="S72" s="3">
        <v>11.001571530384503</v>
      </c>
      <c r="T72" s="3">
        <v>0</v>
      </c>
      <c r="U72" s="3">
        <f t="shared" si="1"/>
        <v>0</v>
      </c>
    </row>
    <row r="73" spans="2:21">
      <c r="B73">
        <v>69</v>
      </c>
      <c r="C73">
        <v>27</v>
      </c>
      <c r="D73">
        <v>27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11.84</v>
      </c>
      <c r="M73" s="3">
        <v>0</v>
      </c>
      <c r="N73" s="3">
        <v>25.45</v>
      </c>
      <c r="O73" s="3">
        <v>0</v>
      </c>
      <c r="P73" s="3">
        <v>38.82</v>
      </c>
      <c r="Q73">
        <v>27</v>
      </c>
      <c r="R73" s="3">
        <v>11.389834410318505</v>
      </c>
      <c r="S73" s="3">
        <v>13.673877412063502</v>
      </c>
      <c r="T73" s="3">
        <v>0</v>
      </c>
      <c r="U73" s="3">
        <f t="shared" si="1"/>
        <v>0</v>
      </c>
    </row>
    <row r="74" spans="2:21">
      <c r="B74">
        <v>70</v>
      </c>
      <c r="C74">
        <v>33</v>
      </c>
      <c r="D74">
        <v>33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6.31</v>
      </c>
      <c r="M74" s="3">
        <v>0</v>
      </c>
      <c r="N74" s="3">
        <v>21.05</v>
      </c>
      <c r="O74" s="3">
        <v>0</v>
      </c>
      <c r="P74" s="3">
        <v>32.04</v>
      </c>
      <c r="Q74">
        <v>33</v>
      </c>
      <c r="R74" s="3">
        <v>11.561639660436956</v>
      </c>
      <c r="S74" s="3">
        <v>13.818755166158438</v>
      </c>
      <c r="T74" s="3">
        <v>0</v>
      </c>
      <c r="U74" s="3">
        <f t="shared" si="1"/>
        <v>0</v>
      </c>
    </row>
    <row r="75" spans="2:21">
      <c r="B75">
        <v>71</v>
      </c>
      <c r="C75">
        <v>12</v>
      </c>
      <c r="D75">
        <v>12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5.13</v>
      </c>
      <c r="M75" s="3">
        <v>0</v>
      </c>
      <c r="N75" s="3">
        <v>23.77</v>
      </c>
      <c r="O75" s="3">
        <v>0</v>
      </c>
      <c r="P75" s="3">
        <v>32</v>
      </c>
      <c r="Q75">
        <v>12</v>
      </c>
      <c r="R75" s="3">
        <v>13.937893685338247</v>
      </c>
      <c r="S75" s="3">
        <v>16.296204547877046</v>
      </c>
      <c r="T75" s="3">
        <v>0</v>
      </c>
      <c r="U75" s="3">
        <f t="shared" si="1"/>
        <v>0</v>
      </c>
    </row>
    <row r="76" spans="2:21">
      <c r="B76">
        <v>72</v>
      </c>
      <c r="C76">
        <v>19</v>
      </c>
      <c r="D76">
        <v>19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10.526315789473685</v>
      </c>
      <c r="L76" s="3">
        <v>10.8</v>
      </c>
      <c r="M76" s="3">
        <v>5.2631578947368425</v>
      </c>
      <c r="N76" s="3">
        <v>26.32</v>
      </c>
      <c r="O76" s="3">
        <v>5.2631578947368425</v>
      </c>
      <c r="P76" s="3">
        <v>41.86</v>
      </c>
      <c r="Q76">
        <v>19</v>
      </c>
      <c r="R76" s="3">
        <v>13.710347456225321</v>
      </c>
      <c r="S76" s="3">
        <v>16.504518858725579</v>
      </c>
      <c r="T76" s="3">
        <v>0</v>
      </c>
      <c r="U76" s="3">
        <f t="shared" si="1"/>
        <v>0</v>
      </c>
    </row>
    <row r="77" spans="2:21">
      <c r="B77">
        <v>73</v>
      </c>
      <c r="C77">
        <v>39</v>
      </c>
      <c r="D77">
        <v>40</v>
      </c>
      <c r="E77" s="3">
        <v>2.5</v>
      </c>
      <c r="F77" s="3">
        <v>2.5641025641025643</v>
      </c>
      <c r="G77" s="3">
        <v>2.5</v>
      </c>
      <c r="H77" s="3">
        <v>28.205128205128204</v>
      </c>
      <c r="I77" s="3">
        <v>2.5</v>
      </c>
      <c r="J77" s="3">
        <v>446.15384615384613</v>
      </c>
      <c r="K77" s="3">
        <v>0</v>
      </c>
      <c r="L77" s="3">
        <v>22.51</v>
      </c>
      <c r="M77" s="3">
        <v>10.256410256410257</v>
      </c>
      <c r="N77" s="3">
        <v>56.62</v>
      </c>
      <c r="O77" s="3">
        <v>0</v>
      </c>
      <c r="P77" s="3">
        <v>108.13</v>
      </c>
      <c r="Q77">
        <v>39</v>
      </c>
      <c r="R77" s="3">
        <v>13.006495197946828</v>
      </c>
      <c r="S77" s="3">
        <v>36.37114039268188</v>
      </c>
      <c r="T77" s="3">
        <v>0</v>
      </c>
      <c r="U77" s="4">
        <f t="shared" si="1"/>
        <v>-2.5</v>
      </c>
    </row>
    <row r="78" spans="2:21">
      <c r="B78">
        <v>74</v>
      </c>
      <c r="C78">
        <v>64</v>
      </c>
      <c r="D78">
        <v>64</v>
      </c>
      <c r="E78" s="3">
        <v>0</v>
      </c>
      <c r="F78" s="3">
        <v>0</v>
      </c>
      <c r="G78" s="3">
        <v>0</v>
      </c>
      <c r="H78" s="3">
        <v>4.6875</v>
      </c>
      <c r="I78" s="3">
        <v>0</v>
      </c>
      <c r="J78" s="3">
        <v>0</v>
      </c>
      <c r="K78" s="3">
        <v>0</v>
      </c>
      <c r="L78" s="3">
        <v>20.399999999999999</v>
      </c>
      <c r="M78" s="3">
        <v>15.625</v>
      </c>
      <c r="N78" s="3">
        <v>40.06</v>
      </c>
      <c r="O78" s="3">
        <v>0</v>
      </c>
      <c r="P78" s="3">
        <v>56.51</v>
      </c>
      <c r="Q78">
        <v>64</v>
      </c>
      <c r="R78" s="3">
        <v>13.043175130876548</v>
      </c>
      <c r="S78" s="3">
        <v>32.228647238582525</v>
      </c>
      <c r="T78" s="3">
        <v>0</v>
      </c>
      <c r="U78" s="3">
        <f t="shared" si="1"/>
        <v>0</v>
      </c>
    </row>
    <row r="79" spans="2:21">
      <c r="B79">
        <v>75</v>
      </c>
      <c r="C79">
        <v>26</v>
      </c>
      <c r="D79">
        <v>26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24.82</v>
      </c>
      <c r="M79" s="3">
        <v>0</v>
      </c>
      <c r="N79" s="3">
        <v>27.17</v>
      </c>
      <c r="O79" s="3">
        <v>0</v>
      </c>
      <c r="P79" s="3">
        <v>55.92</v>
      </c>
      <c r="Q79">
        <v>26</v>
      </c>
      <c r="R79" s="3">
        <v>18.31123983537773</v>
      </c>
      <c r="S79" s="3">
        <v>23.211776934852388</v>
      </c>
      <c r="T79" s="3">
        <v>0</v>
      </c>
      <c r="U79" s="3">
        <f t="shared" si="1"/>
        <v>0</v>
      </c>
    </row>
    <row r="80" spans="2:21">
      <c r="B80">
        <v>76</v>
      </c>
      <c r="C80">
        <v>38</v>
      </c>
      <c r="D80">
        <v>38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2.6315789473684212</v>
      </c>
      <c r="L80" s="3">
        <v>11.88</v>
      </c>
      <c r="M80" s="3">
        <v>2.6315789473684212</v>
      </c>
      <c r="N80" s="3">
        <v>39.549999999999997</v>
      </c>
      <c r="O80" s="3">
        <v>2.6315789473684212</v>
      </c>
      <c r="P80" s="3">
        <v>52.99</v>
      </c>
      <c r="Q80">
        <v>38</v>
      </c>
      <c r="R80" s="3">
        <v>18.655653879968412</v>
      </c>
      <c r="S80" s="3">
        <v>32.541936499471653</v>
      </c>
      <c r="T80" s="3">
        <v>0</v>
      </c>
      <c r="U80" s="3">
        <f t="shared" si="1"/>
        <v>0</v>
      </c>
    </row>
    <row r="81" spans="2:21">
      <c r="B81">
        <v>77</v>
      </c>
      <c r="C81">
        <v>29</v>
      </c>
      <c r="D81">
        <v>29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24.2</v>
      </c>
      <c r="M81" s="3">
        <v>3.4482758620689653</v>
      </c>
      <c r="N81" s="3">
        <v>45.88</v>
      </c>
      <c r="O81" s="3">
        <v>0</v>
      </c>
      <c r="P81" s="3">
        <v>76.97</v>
      </c>
      <c r="Q81">
        <v>29</v>
      </c>
      <c r="R81" s="3">
        <v>26.223313828691762</v>
      </c>
      <c r="S81" s="3">
        <v>31.840439785778834</v>
      </c>
      <c r="T81" s="3">
        <v>0</v>
      </c>
      <c r="U81" s="3">
        <f t="shared" si="1"/>
        <v>0</v>
      </c>
    </row>
    <row r="82" spans="2:21">
      <c r="B82">
        <v>78</v>
      </c>
      <c r="C82">
        <v>37</v>
      </c>
      <c r="D82">
        <v>37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18.989999999999998</v>
      </c>
      <c r="M82" s="3">
        <v>0</v>
      </c>
      <c r="N82" s="3">
        <v>42.61</v>
      </c>
      <c r="O82" s="3">
        <v>0</v>
      </c>
      <c r="P82" s="3">
        <v>61.93</v>
      </c>
      <c r="Q82">
        <v>37</v>
      </c>
      <c r="R82" s="3">
        <v>25.43199341368781</v>
      </c>
      <c r="S82" s="3">
        <v>34.355228284121125</v>
      </c>
      <c r="T82" s="3">
        <v>0</v>
      </c>
      <c r="U82" s="3">
        <f t="shared" si="1"/>
        <v>0</v>
      </c>
    </row>
    <row r="83" spans="2:21">
      <c r="B83">
        <v>79</v>
      </c>
      <c r="C83">
        <v>14</v>
      </c>
      <c r="D83">
        <v>14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14.285714285714286</v>
      </c>
      <c r="L83" s="3">
        <v>7.85</v>
      </c>
      <c r="M83" s="3">
        <v>0</v>
      </c>
      <c r="N83" s="3">
        <v>42.66</v>
      </c>
      <c r="O83" s="3">
        <v>0</v>
      </c>
      <c r="P83" s="3">
        <v>61.74</v>
      </c>
      <c r="Q83">
        <v>14</v>
      </c>
      <c r="R83" s="3">
        <v>30.6853615354567</v>
      </c>
      <c r="S83" s="3">
        <v>37.336638857170264</v>
      </c>
      <c r="T83" s="3">
        <v>0</v>
      </c>
      <c r="U83" s="3">
        <f t="shared" si="1"/>
        <v>0</v>
      </c>
    </row>
    <row r="84" spans="2:21">
      <c r="B84">
        <v>80</v>
      </c>
      <c r="C84">
        <v>37</v>
      </c>
      <c r="D84">
        <v>37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8.1081081081081088</v>
      </c>
      <c r="L84" s="3">
        <v>7.14</v>
      </c>
      <c r="M84" s="3">
        <v>0</v>
      </c>
      <c r="N84" s="3">
        <v>36.61</v>
      </c>
      <c r="O84" s="3">
        <v>0</v>
      </c>
      <c r="P84" s="3">
        <v>51.24</v>
      </c>
      <c r="Q84">
        <v>37</v>
      </c>
      <c r="R84" s="3">
        <v>30.533176728138983</v>
      </c>
      <c r="S84" s="3">
        <v>36.895897485733506</v>
      </c>
      <c r="T84" s="3">
        <v>0</v>
      </c>
      <c r="U84" s="3">
        <f t="shared" si="1"/>
        <v>0</v>
      </c>
    </row>
    <row r="85" spans="2:21">
      <c r="B85">
        <v>81</v>
      </c>
      <c r="C85">
        <v>53</v>
      </c>
      <c r="D85">
        <v>61</v>
      </c>
      <c r="E85" s="3">
        <v>34.42622950819672</v>
      </c>
      <c r="F85" s="3">
        <v>37</v>
      </c>
      <c r="G85" s="3">
        <v>13.114754098360656</v>
      </c>
      <c r="H85" s="3">
        <v>15.09433962264151</v>
      </c>
      <c r="I85" s="3">
        <v>34.42622950819672</v>
      </c>
      <c r="J85" s="3">
        <v>607.54716981132071</v>
      </c>
      <c r="K85" s="3">
        <v>0</v>
      </c>
      <c r="L85" s="3">
        <v>51.01</v>
      </c>
      <c r="M85" s="3">
        <v>22.641509433962263</v>
      </c>
      <c r="N85" s="3">
        <v>113.62</v>
      </c>
      <c r="O85" s="3">
        <v>0</v>
      </c>
      <c r="P85" s="3">
        <v>214.7</v>
      </c>
      <c r="Q85">
        <v>53</v>
      </c>
      <c r="R85" s="3">
        <v>24.226438254698603</v>
      </c>
      <c r="S85" s="3">
        <v>69.925385874050036</v>
      </c>
      <c r="T85" s="3">
        <v>0</v>
      </c>
      <c r="U85" s="4">
        <f t="shared" si="1"/>
        <v>-13.114754098360656</v>
      </c>
    </row>
    <row r="86" spans="2:21">
      <c r="B86">
        <v>82</v>
      </c>
      <c r="C86">
        <v>68</v>
      </c>
      <c r="D86">
        <v>84</v>
      </c>
      <c r="E86" s="3">
        <v>38.095238095238095</v>
      </c>
      <c r="F86" s="3">
        <v>45.132352941176471</v>
      </c>
      <c r="G86" s="3">
        <v>19.047619047619047</v>
      </c>
      <c r="H86" s="3">
        <v>23.529411764705884</v>
      </c>
      <c r="I86" s="3">
        <v>36.904761904761905</v>
      </c>
      <c r="J86" s="3">
        <v>538.23529411764707</v>
      </c>
      <c r="K86" s="3">
        <v>5.882352941176471</v>
      </c>
      <c r="L86" s="3">
        <v>29.16</v>
      </c>
      <c r="M86" s="3">
        <v>1.4705882352941178</v>
      </c>
      <c r="N86" s="3">
        <v>76.260000000000005</v>
      </c>
      <c r="O86" s="3">
        <v>0</v>
      </c>
      <c r="P86" s="3">
        <v>171.98</v>
      </c>
      <c r="Q86">
        <v>68</v>
      </c>
      <c r="R86" s="3">
        <v>24.268873513187678</v>
      </c>
      <c r="S86" s="3">
        <v>69.520569411225139</v>
      </c>
      <c r="T86" s="3">
        <v>0</v>
      </c>
      <c r="U86" s="4">
        <f t="shared" si="1"/>
        <v>-19.047619047619047</v>
      </c>
    </row>
    <row r="87" spans="2:21">
      <c r="B87">
        <v>83</v>
      </c>
      <c r="C87">
        <v>40</v>
      </c>
      <c r="D87">
        <v>40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15.01</v>
      </c>
      <c r="M87" s="3">
        <v>10</v>
      </c>
      <c r="N87" s="3">
        <v>89.42</v>
      </c>
      <c r="O87" s="3">
        <v>0</v>
      </c>
      <c r="P87" s="3">
        <v>118.88</v>
      </c>
      <c r="Q87">
        <v>40</v>
      </c>
      <c r="R87" s="3">
        <v>34.810287809055012</v>
      </c>
      <c r="S87" s="3">
        <v>60.57789664934959</v>
      </c>
      <c r="T87" s="3">
        <v>0</v>
      </c>
      <c r="U87" s="3">
        <f t="shared" si="1"/>
        <v>0</v>
      </c>
    </row>
    <row r="88" spans="2:21">
      <c r="B88">
        <v>84</v>
      </c>
      <c r="C88">
        <v>39</v>
      </c>
      <c r="D88">
        <v>39</v>
      </c>
      <c r="E88" s="3">
        <v>0</v>
      </c>
      <c r="F88" s="3">
        <v>0</v>
      </c>
      <c r="G88" s="3">
        <v>0</v>
      </c>
      <c r="H88" s="3">
        <v>17.948717948717949</v>
      </c>
      <c r="I88" s="3">
        <v>0</v>
      </c>
      <c r="J88" s="3">
        <v>0</v>
      </c>
      <c r="K88" s="3">
        <v>0</v>
      </c>
      <c r="L88" s="3">
        <v>16.25</v>
      </c>
      <c r="M88" s="3">
        <v>0</v>
      </c>
      <c r="N88" s="3">
        <v>64.92</v>
      </c>
      <c r="O88" s="3">
        <v>0</v>
      </c>
      <c r="P88" s="3">
        <v>75.2</v>
      </c>
      <c r="Q88">
        <v>39</v>
      </c>
      <c r="R88" s="3">
        <v>34.951949594314293</v>
      </c>
      <c r="S88" s="3">
        <v>54.643725793968244</v>
      </c>
      <c r="T88" s="3">
        <v>0</v>
      </c>
      <c r="U88" s="3">
        <f t="shared" si="1"/>
        <v>0</v>
      </c>
    </row>
    <row r="89" spans="2:21">
      <c r="B89">
        <v>85</v>
      </c>
      <c r="C89">
        <v>26</v>
      </c>
      <c r="D89">
        <v>26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21.25</v>
      </c>
      <c r="M89" s="3">
        <v>0</v>
      </c>
      <c r="N89" s="3">
        <v>78.569999999999993</v>
      </c>
      <c r="O89" s="3">
        <v>0</v>
      </c>
      <c r="P89" s="3">
        <v>85.3</v>
      </c>
      <c r="Q89">
        <v>26</v>
      </c>
      <c r="R89" s="3">
        <v>46.706150623690448</v>
      </c>
      <c r="S89" s="3">
        <v>65.41401896912285</v>
      </c>
      <c r="T89" s="3">
        <v>0</v>
      </c>
      <c r="U89" s="3">
        <f t="shared" si="1"/>
        <v>0</v>
      </c>
    </row>
    <row r="90" spans="2:21">
      <c r="B90">
        <v>86</v>
      </c>
      <c r="C90">
        <v>37</v>
      </c>
      <c r="D90">
        <v>37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5.4054054054054053</v>
      </c>
      <c r="L90" s="3">
        <v>14.57</v>
      </c>
      <c r="M90" s="3">
        <v>0</v>
      </c>
      <c r="N90" s="3">
        <v>60.25</v>
      </c>
      <c r="O90" s="3">
        <v>2.7027027027027026</v>
      </c>
      <c r="P90" s="3">
        <v>71.67</v>
      </c>
      <c r="Q90">
        <v>37</v>
      </c>
      <c r="R90" s="3">
        <v>47.047551458120559</v>
      </c>
      <c r="S90" s="3">
        <v>58.320681331721765</v>
      </c>
      <c r="T90" s="3">
        <v>0</v>
      </c>
      <c r="U90" s="3">
        <f t="shared" si="1"/>
        <v>0</v>
      </c>
    </row>
    <row r="91" spans="2:21">
      <c r="B91">
        <v>87</v>
      </c>
      <c r="C91">
        <v>25</v>
      </c>
      <c r="D91">
        <v>25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18.75</v>
      </c>
      <c r="M91" s="3">
        <v>0</v>
      </c>
      <c r="N91" s="3">
        <v>77.08</v>
      </c>
      <c r="O91" s="3">
        <v>0</v>
      </c>
      <c r="P91" s="3">
        <v>86.69</v>
      </c>
      <c r="Q91">
        <v>25</v>
      </c>
      <c r="R91" s="3">
        <v>59.89355271313503</v>
      </c>
      <c r="S91" s="3">
        <v>70.938088852595442</v>
      </c>
      <c r="T91" s="3">
        <v>0</v>
      </c>
      <c r="U91" s="3">
        <f t="shared" si="1"/>
        <v>0</v>
      </c>
    </row>
    <row r="92" spans="2:21">
      <c r="B92">
        <v>88</v>
      </c>
      <c r="C92">
        <v>19</v>
      </c>
      <c r="D92">
        <v>19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5.2631578947368425</v>
      </c>
      <c r="L92" s="3">
        <v>9.5299999999999994</v>
      </c>
      <c r="M92" s="3">
        <v>0</v>
      </c>
      <c r="N92" s="3">
        <v>59.84</v>
      </c>
      <c r="O92" s="3">
        <v>0</v>
      </c>
      <c r="P92" s="3">
        <v>66.11</v>
      </c>
      <c r="Q92">
        <v>19</v>
      </c>
      <c r="R92" s="3">
        <v>59.866601673177151</v>
      </c>
      <c r="S92" s="3">
        <v>71.594971057708804</v>
      </c>
      <c r="T92" s="3">
        <v>0</v>
      </c>
      <c r="U92" s="3">
        <f t="shared" si="1"/>
        <v>0</v>
      </c>
    </row>
    <row r="93" spans="2:21">
      <c r="B93">
        <v>89</v>
      </c>
      <c r="C93">
        <v>55</v>
      </c>
      <c r="D93">
        <v>84</v>
      </c>
      <c r="E93" s="3">
        <v>36.904761904761905</v>
      </c>
      <c r="F93" s="3">
        <v>60.018181818181823</v>
      </c>
      <c r="G93" s="3">
        <v>36.904761904761905</v>
      </c>
      <c r="H93" s="3">
        <v>52.727272727272727</v>
      </c>
      <c r="I93" s="3">
        <v>41.666666666666664</v>
      </c>
      <c r="J93" s="3">
        <v>732.72727272727275</v>
      </c>
      <c r="K93" s="3">
        <v>1.8181818181818181</v>
      </c>
      <c r="L93" s="3">
        <v>38.6</v>
      </c>
      <c r="M93" s="3">
        <v>9.0909090909090917</v>
      </c>
      <c r="N93" s="3">
        <v>179.79</v>
      </c>
      <c r="O93" s="3">
        <v>0</v>
      </c>
      <c r="P93" s="3">
        <v>317.89</v>
      </c>
      <c r="Q93">
        <v>57</v>
      </c>
      <c r="R93" s="3">
        <v>38.604944042011056</v>
      </c>
      <c r="S93" s="3">
        <v>232.36923442008626</v>
      </c>
      <c r="T93" s="4">
        <v>-3.6363636363636362</v>
      </c>
      <c r="U93" s="4">
        <f t="shared" si="1"/>
        <v>-32.142857142857146</v>
      </c>
    </row>
    <row r="94" spans="2:21">
      <c r="B94">
        <v>90</v>
      </c>
      <c r="C94">
        <v>68</v>
      </c>
      <c r="D94">
        <v>103</v>
      </c>
      <c r="E94" s="3">
        <v>50.485436893203882</v>
      </c>
      <c r="F94" s="3">
        <v>100.95588235294119</v>
      </c>
      <c r="G94" s="3">
        <v>48.543689320388353</v>
      </c>
      <c r="H94" s="3">
        <v>51.470588235294116</v>
      </c>
      <c r="I94" s="3">
        <v>47.572815533980581</v>
      </c>
      <c r="J94" s="3">
        <v>704.41176470588232</v>
      </c>
      <c r="K94" s="3">
        <v>20.588235294117649</v>
      </c>
      <c r="L94" s="3">
        <v>38.840000000000003</v>
      </c>
      <c r="M94" s="3">
        <v>23.529411764705884</v>
      </c>
      <c r="N94" s="3">
        <v>224.51</v>
      </c>
      <c r="O94" s="3">
        <v>0</v>
      </c>
      <c r="P94" s="3">
        <v>319.70999999999998</v>
      </c>
      <c r="Q94">
        <v>70</v>
      </c>
      <c r="R94" s="3">
        <v>38.086669297078174</v>
      </c>
      <c r="S94" s="3">
        <v>521.70305008635773</v>
      </c>
      <c r="T94" s="4">
        <v>-2.9411764705882355</v>
      </c>
      <c r="U94" s="4">
        <f t="shared" si="1"/>
        <v>-32.038834951456309</v>
      </c>
    </row>
    <row r="95" spans="2:21">
      <c r="B95">
        <v>91</v>
      </c>
      <c r="C95">
        <v>41</v>
      </c>
      <c r="D95">
        <v>41</v>
      </c>
      <c r="E95" s="3">
        <v>0</v>
      </c>
      <c r="F95" s="3">
        <v>0</v>
      </c>
      <c r="G95" s="3">
        <v>0</v>
      </c>
      <c r="H95" s="3">
        <v>4.8780487804878048</v>
      </c>
      <c r="I95" s="3">
        <v>0</v>
      </c>
      <c r="J95" s="3">
        <v>0</v>
      </c>
      <c r="K95" s="3">
        <v>0</v>
      </c>
      <c r="L95" s="3">
        <v>56.48</v>
      </c>
      <c r="M95" s="3">
        <v>0</v>
      </c>
      <c r="N95" s="3">
        <v>98.24</v>
      </c>
      <c r="O95" s="3">
        <v>0</v>
      </c>
      <c r="P95" s="3">
        <v>170.25</v>
      </c>
      <c r="Q95">
        <v>41</v>
      </c>
      <c r="R95" s="3">
        <v>58.34005278436431</v>
      </c>
      <c r="S95" s="3">
        <v>119.73293129372932</v>
      </c>
      <c r="T95" s="3">
        <v>0</v>
      </c>
      <c r="U95" s="3">
        <f t="shared" si="1"/>
        <v>0</v>
      </c>
    </row>
    <row r="96" spans="2:21">
      <c r="B96">
        <v>92</v>
      </c>
      <c r="C96">
        <v>53</v>
      </c>
      <c r="D96">
        <v>53</v>
      </c>
      <c r="E96" s="3">
        <v>0</v>
      </c>
      <c r="F96" s="3">
        <v>0</v>
      </c>
      <c r="G96" s="3">
        <v>0</v>
      </c>
      <c r="H96" s="3">
        <v>30.188679245283019</v>
      </c>
      <c r="I96" s="3">
        <v>0</v>
      </c>
      <c r="J96" s="3">
        <v>588.67924528301887</v>
      </c>
      <c r="K96" s="3">
        <v>0</v>
      </c>
      <c r="L96" s="3">
        <v>32.39</v>
      </c>
      <c r="M96" s="3">
        <v>0</v>
      </c>
      <c r="N96" s="3">
        <v>96.15</v>
      </c>
      <c r="O96" s="3">
        <v>0</v>
      </c>
      <c r="P96" s="3">
        <v>142.38</v>
      </c>
      <c r="Q96">
        <v>53</v>
      </c>
      <c r="R96" s="3">
        <v>58.38194358067912</v>
      </c>
      <c r="S96" s="3">
        <v>134.33170151955241</v>
      </c>
      <c r="T96" s="3">
        <v>0</v>
      </c>
      <c r="U96" s="3">
        <f t="shared" si="1"/>
        <v>0</v>
      </c>
    </row>
    <row r="97" spans="2:21">
      <c r="B97">
        <v>93</v>
      </c>
      <c r="C97">
        <v>27</v>
      </c>
      <c r="D97">
        <v>27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3.7037037037037037</v>
      </c>
      <c r="L97" s="3">
        <v>11.64</v>
      </c>
      <c r="M97" s="3">
        <v>0</v>
      </c>
      <c r="N97" s="3">
        <v>81.540000000000006</v>
      </c>
      <c r="O97" s="3">
        <v>0</v>
      </c>
      <c r="P97" s="3">
        <v>103.82</v>
      </c>
      <c r="Q97">
        <v>27</v>
      </c>
      <c r="R97" s="3">
        <v>79.017907359041843</v>
      </c>
      <c r="S97" s="3">
        <v>104.15311560401079</v>
      </c>
      <c r="T97" s="3">
        <v>0</v>
      </c>
      <c r="U97" s="3">
        <f t="shared" si="1"/>
        <v>0</v>
      </c>
    </row>
    <row r="98" spans="2:21">
      <c r="B98">
        <v>94</v>
      </c>
      <c r="C98">
        <v>53</v>
      </c>
      <c r="D98">
        <v>53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39.29</v>
      </c>
      <c r="M98" s="3">
        <v>0</v>
      </c>
      <c r="N98" s="3">
        <v>81.48</v>
      </c>
      <c r="O98" s="3">
        <v>0</v>
      </c>
      <c r="P98" s="3">
        <v>122.69</v>
      </c>
      <c r="Q98">
        <v>53</v>
      </c>
      <c r="R98" s="3">
        <v>79.348348173150825</v>
      </c>
      <c r="S98" s="3">
        <v>100.62634632530315</v>
      </c>
      <c r="T98" s="3">
        <v>0</v>
      </c>
      <c r="U98" s="3">
        <f t="shared" si="1"/>
        <v>0</v>
      </c>
    </row>
    <row r="99" spans="2:21">
      <c r="B99">
        <v>95</v>
      </c>
      <c r="C99">
        <v>24</v>
      </c>
      <c r="D99">
        <v>24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23.32</v>
      </c>
      <c r="M99" s="3">
        <v>0</v>
      </c>
      <c r="N99" s="3">
        <v>83.42</v>
      </c>
      <c r="O99" s="3">
        <v>0</v>
      </c>
      <c r="P99" s="3">
        <v>107.16</v>
      </c>
      <c r="Q99">
        <v>24</v>
      </c>
      <c r="R99" s="3">
        <v>89.228997719978935</v>
      </c>
      <c r="S99" s="3">
        <v>106.781098023751</v>
      </c>
      <c r="T99" s="3">
        <v>0</v>
      </c>
      <c r="U99" s="3">
        <f t="shared" si="1"/>
        <v>0</v>
      </c>
    </row>
    <row r="100" spans="2:21">
      <c r="B100">
        <v>96</v>
      </c>
      <c r="C100">
        <v>33</v>
      </c>
      <c r="D100">
        <v>33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3.0303030303030303</v>
      </c>
      <c r="L100" s="3">
        <v>11.99</v>
      </c>
      <c r="M100" s="3">
        <v>0</v>
      </c>
      <c r="N100" s="3">
        <v>84.85</v>
      </c>
      <c r="O100" s="3">
        <v>0</v>
      </c>
      <c r="P100" s="3">
        <v>95.38</v>
      </c>
      <c r="Q100">
        <v>33</v>
      </c>
      <c r="R100" s="3">
        <v>88.435365694551194</v>
      </c>
      <c r="S100" s="3">
        <v>107.14483588505614</v>
      </c>
      <c r="T100" s="3">
        <v>0</v>
      </c>
      <c r="U100" s="3">
        <f t="shared" si="1"/>
        <v>0</v>
      </c>
    </row>
    <row r="101" spans="2:21">
      <c r="B101">
        <v>97</v>
      </c>
      <c r="C101">
        <v>39</v>
      </c>
      <c r="D101">
        <v>39</v>
      </c>
      <c r="E101" s="3">
        <v>0</v>
      </c>
      <c r="F101" s="3">
        <v>0</v>
      </c>
      <c r="G101" s="3">
        <v>0</v>
      </c>
      <c r="H101" s="3">
        <v>71.794871794871796</v>
      </c>
      <c r="I101" s="3">
        <v>5.1282051282051286</v>
      </c>
      <c r="J101" s="3">
        <v>387.17948717948718</v>
      </c>
      <c r="K101" s="3">
        <v>7.6923076923076925</v>
      </c>
      <c r="L101" s="3">
        <v>32.07</v>
      </c>
      <c r="M101" s="3">
        <v>0</v>
      </c>
      <c r="N101" s="3">
        <v>37.69</v>
      </c>
      <c r="O101" s="3">
        <v>0</v>
      </c>
      <c r="P101" s="3">
        <v>96.56</v>
      </c>
      <c r="Q101">
        <v>39</v>
      </c>
      <c r="R101" s="3">
        <v>13.422591892182155</v>
      </c>
      <c r="S101" s="3">
        <v>30.574703489676619</v>
      </c>
      <c r="T101" s="3">
        <v>0</v>
      </c>
      <c r="U101" s="3">
        <f t="shared" si="1"/>
        <v>0</v>
      </c>
    </row>
    <row r="102" spans="2:21">
      <c r="B102">
        <v>98</v>
      </c>
      <c r="C102">
        <v>47</v>
      </c>
      <c r="D102">
        <v>47</v>
      </c>
      <c r="E102" s="3">
        <v>25.531914893617021</v>
      </c>
      <c r="F102" s="3">
        <v>17.021276595744681</v>
      </c>
      <c r="G102" s="3">
        <v>19.148936170212767</v>
      </c>
      <c r="H102" s="3">
        <v>10.638297872340425</v>
      </c>
      <c r="I102" s="3">
        <v>0</v>
      </c>
      <c r="J102" s="3">
        <v>0</v>
      </c>
      <c r="K102" s="3">
        <v>25.531914893617021</v>
      </c>
      <c r="L102" s="3">
        <v>15.1</v>
      </c>
      <c r="M102" s="3">
        <v>27.659574468085108</v>
      </c>
      <c r="N102" s="3">
        <v>35.79</v>
      </c>
      <c r="O102" s="3">
        <v>0</v>
      </c>
      <c r="P102" s="3">
        <v>82.05</v>
      </c>
      <c r="Q102">
        <v>47</v>
      </c>
      <c r="R102" s="3">
        <v>13.364062695446169</v>
      </c>
      <c r="S102" s="3">
        <v>33.080865860989462</v>
      </c>
      <c r="T102" s="3">
        <v>0</v>
      </c>
      <c r="U102" s="3">
        <f t="shared" si="1"/>
        <v>0</v>
      </c>
    </row>
    <row r="103" spans="2:21">
      <c r="B103">
        <v>99</v>
      </c>
      <c r="C103">
        <v>23</v>
      </c>
      <c r="D103">
        <v>23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4.3478260869565215</v>
      </c>
      <c r="L103" s="3">
        <v>20.03</v>
      </c>
      <c r="M103" s="3">
        <v>13.043478260869565</v>
      </c>
      <c r="N103" s="3">
        <v>29.7</v>
      </c>
      <c r="O103" s="3">
        <v>4.3478260869565215</v>
      </c>
      <c r="P103" s="3">
        <v>52.05</v>
      </c>
      <c r="Q103">
        <v>23</v>
      </c>
      <c r="R103" s="3">
        <v>19.594388808475912</v>
      </c>
      <c r="S103" s="3">
        <v>24.308360948535007</v>
      </c>
      <c r="T103" s="3">
        <v>0</v>
      </c>
      <c r="U103" s="3">
        <f t="shared" si="1"/>
        <v>0</v>
      </c>
    </row>
    <row r="104" spans="2:21">
      <c r="B104">
        <v>100</v>
      </c>
      <c r="C104">
        <v>36</v>
      </c>
      <c r="D104">
        <v>36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14.16</v>
      </c>
      <c r="M104" s="3">
        <v>0</v>
      </c>
      <c r="N104" s="3">
        <v>31.49</v>
      </c>
      <c r="O104" s="3">
        <v>0</v>
      </c>
      <c r="P104" s="3">
        <v>45.81</v>
      </c>
      <c r="Q104">
        <v>36</v>
      </c>
      <c r="R104" s="3">
        <v>20.126700093445642</v>
      </c>
      <c r="S104" s="3">
        <v>25.20621351682377</v>
      </c>
      <c r="T104" s="3">
        <v>0</v>
      </c>
      <c r="U104" s="3">
        <f t="shared" si="1"/>
        <v>0</v>
      </c>
    </row>
    <row r="105" spans="2:21">
      <c r="B105">
        <v>101</v>
      </c>
      <c r="C105">
        <v>25</v>
      </c>
      <c r="D105">
        <v>25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52</v>
      </c>
      <c r="L105" s="3">
        <v>6.86</v>
      </c>
      <c r="M105" s="3">
        <v>0</v>
      </c>
      <c r="N105" s="3">
        <v>35.06</v>
      </c>
      <c r="O105" s="3">
        <v>0</v>
      </c>
      <c r="P105" s="3">
        <v>42.23</v>
      </c>
      <c r="Q105">
        <v>25</v>
      </c>
      <c r="R105" s="3">
        <v>26.372556202684915</v>
      </c>
      <c r="S105" s="3">
        <v>32.241054649759668</v>
      </c>
      <c r="T105" s="3">
        <v>0</v>
      </c>
      <c r="U105" s="3">
        <f t="shared" si="1"/>
        <v>0</v>
      </c>
    </row>
    <row r="106" spans="2:21">
      <c r="B106">
        <v>102</v>
      </c>
      <c r="C106">
        <v>19</v>
      </c>
      <c r="D106">
        <v>19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15.789473684210526</v>
      </c>
      <c r="L106" s="3">
        <v>6.32</v>
      </c>
      <c r="M106" s="3">
        <v>0</v>
      </c>
      <c r="N106" s="3">
        <v>42.41</v>
      </c>
      <c r="O106" s="3">
        <v>0</v>
      </c>
      <c r="P106" s="3">
        <v>49.85</v>
      </c>
      <c r="Q106">
        <v>19</v>
      </c>
      <c r="R106" s="3">
        <v>27.602156006054223</v>
      </c>
      <c r="S106" s="3">
        <v>34.86534635039726</v>
      </c>
      <c r="T106" s="3">
        <v>0</v>
      </c>
      <c r="U106" s="3">
        <f t="shared" si="1"/>
        <v>0</v>
      </c>
    </row>
    <row r="107" spans="2:21">
      <c r="B107">
        <v>103</v>
      </c>
      <c r="C107">
        <v>14</v>
      </c>
      <c r="D107">
        <v>14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7.1428571428571432</v>
      </c>
      <c r="L107" s="3">
        <v>5.59</v>
      </c>
      <c r="M107" s="3">
        <v>0</v>
      </c>
      <c r="N107" s="3">
        <v>41.26</v>
      </c>
      <c r="O107" s="3">
        <v>0</v>
      </c>
      <c r="P107" s="3">
        <v>53.33</v>
      </c>
      <c r="Q107">
        <v>14</v>
      </c>
      <c r="R107" s="3">
        <v>32.182514336825477</v>
      </c>
      <c r="S107" s="3">
        <v>38.887060567057851</v>
      </c>
      <c r="T107" s="3">
        <v>0</v>
      </c>
      <c r="U107" s="3">
        <f t="shared" si="1"/>
        <v>0</v>
      </c>
    </row>
    <row r="108" spans="2:21">
      <c r="B108">
        <v>104</v>
      </c>
      <c r="C108">
        <v>20</v>
      </c>
      <c r="D108">
        <v>20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6.11</v>
      </c>
      <c r="M108" s="3">
        <v>0</v>
      </c>
      <c r="N108" s="3">
        <v>37.94</v>
      </c>
      <c r="O108" s="3">
        <v>0</v>
      </c>
      <c r="P108" s="3">
        <v>44.53</v>
      </c>
      <c r="Q108">
        <v>20</v>
      </c>
      <c r="R108" s="3">
        <v>33.694115677336143</v>
      </c>
      <c r="S108" s="3">
        <v>39.427459868922831</v>
      </c>
      <c r="T108" s="3">
        <v>0</v>
      </c>
      <c r="U108" s="3">
        <f t="shared" si="1"/>
        <v>0</v>
      </c>
    </row>
    <row r="109" spans="2:21">
      <c r="B109">
        <v>105</v>
      </c>
      <c r="C109">
        <v>56</v>
      </c>
      <c r="D109">
        <v>76</v>
      </c>
      <c r="E109" s="3">
        <v>40.789473684210527</v>
      </c>
      <c r="F109" s="3">
        <v>65.160714285714278</v>
      </c>
      <c r="G109" s="3">
        <v>36.842105263157897</v>
      </c>
      <c r="H109" s="3">
        <v>35.714285714285715</v>
      </c>
      <c r="I109" s="3">
        <v>36.842105263157897</v>
      </c>
      <c r="J109" s="3">
        <v>558.92857142857144</v>
      </c>
      <c r="K109" s="3">
        <v>14.285714285714286</v>
      </c>
      <c r="L109" s="3">
        <v>50.22</v>
      </c>
      <c r="M109" s="3">
        <v>19.642857142857142</v>
      </c>
      <c r="N109" s="3">
        <v>107.13</v>
      </c>
      <c r="O109" s="3">
        <v>0</v>
      </c>
      <c r="P109" s="3">
        <v>275.08</v>
      </c>
      <c r="Q109">
        <v>56</v>
      </c>
      <c r="R109" s="3">
        <v>31.285845848065282</v>
      </c>
      <c r="S109" s="3">
        <v>198.0552240683233</v>
      </c>
      <c r="T109" s="3">
        <v>0</v>
      </c>
      <c r="U109" s="4">
        <f t="shared" si="1"/>
        <v>-26.315789473684209</v>
      </c>
    </row>
    <row r="110" spans="2:21">
      <c r="B110">
        <v>106</v>
      </c>
      <c r="C110">
        <v>65</v>
      </c>
      <c r="D110">
        <v>65</v>
      </c>
      <c r="E110" s="3">
        <v>20</v>
      </c>
      <c r="F110" s="3">
        <v>28.246153846153845</v>
      </c>
      <c r="G110" s="3">
        <v>0</v>
      </c>
      <c r="H110" s="3">
        <v>3.0769230769230771</v>
      </c>
      <c r="I110" s="3">
        <v>0</v>
      </c>
      <c r="J110" s="3">
        <v>0</v>
      </c>
      <c r="K110" s="3">
        <v>23.076923076923077</v>
      </c>
      <c r="L110" s="3">
        <v>20.53</v>
      </c>
      <c r="M110" s="3">
        <v>44.615384615384613</v>
      </c>
      <c r="N110" s="3">
        <v>43.96</v>
      </c>
      <c r="O110" s="3">
        <v>18.46153846153846</v>
      </c>
      <c r="P110" s="3">
        <v>103.91</v>
      </c>
      <c r="Q110">
        <v>65</v>
      </c>
      <c r="R110" s="3">
        <v>29.923830376467492</v>
      </c>
      <c r="S110" s="3">
        <v>55.769865748818781</v>
      </c>
      <c r="T110" s="3">
        <v>0</v>
      </c>
      <c r="U110" s="3">
        <f t="shared" si="1"/>
        <v>0</v>
      </c>
    </row>
    <row r="111" spans="2:21">
      <c r="B111">
        <v>107</v>
      </c>
      <c r="C111">
        <v>31</v>
      </c>
      <c r="D111">
        <v>31</v>
      </c>
      <c r="E111" s="3">
        <v>0</v>
      </c>
      <c r="F111" s="3">
        <v>0</v>
      </c>
      <c r="G111" s="3">
        <v>0</v>
      </c>
      <c r="H111" s="3">
        <v>12.903225806451612</v>
      </c>
      <c r="I111" s="3">
        <v>0</v>
      </c>
      <c r="J111" s="3">
        <v>0</v>
      </c>
      <c r="K111" s="3">
        <v>0</v>
      </c>
      <c r="L111" s="3">
        <v>20.12</v>
      </c>
      <c r="M111" s="3">
        <v>0</v>
      </c>
      <c r="N111" s="3">
        <v>80.900000000000006</v>
      </c>
      <c r="O111" s="3">
        <v>0</v>
      </c>
      <c r="P111" s="3">
        <v>82.76</v>
      </c>
      <c r="Q111">
        <v>31</v>
      </c>
      <c r="R111" s="3">
        <v>43.945067032850744</v>
      </c>
      <c r="S111" s="3">
        <v>64.748424716295659</v>
      </c>
      <c r="T111" s="3">
        <v>0</v>
      </c>
      <c r="U111" s="3">
        <f t="shared" si="1"/>
        <v>0</v>
      </c>
    </row>
    <row r="112" spans="2:21">
      <c r="B112">
        <v>108</v>
      </c>
      <c r="C112">
        <v>36</v>
      </c>
      <c r="D112">
        <v>36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27.25</v>
      </c>
      <c r="M112" s="3">
        <v>2.7777777777777777</v>
      </c>
      <c r="N112" s="3">
        <v>51.11</v>
      </c>
      <c r="O112" s="3">
        <v>0</v>
      </c>
      <c r="P112" s="3">
        <v>84.13</v>
      </c>
      <c r="Q112">
        <v>36</v>
      </c>
      <c r="R112" s="3">
        <v>43.892691524874962</v>
      </c>
      <c r="S112" s="3">
        <v>61.069663296062018</v>
      </c>
      <c r="T112" s="3">
        <v>0</v>
      </c>
      <c r="U112" s="3">
        <f t="shared" si="1"/>
        <v>0</v>
      </c>
    </row>
    <row r="113" spans="2:21">
      <c r="B113">
        <v>109</v>
      </c>
      <c r="C113">
        <v>26</v>
      </c>
      <c r="D113">
        <v>26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7.6923076923076925</v>
      </c>
      <c r="L113" s="3">
        <v>22.57</v>
      </c>
      <c r="M113" s="3">
        <v>0</v>
      </c>
      <c r="N113" s="3">
        <v>70.5</v>
      </c>
      <c r="O113" s="3">
        <v>0</v>
      </c>
      <c r="P113" s="3">
        <v>110.79</v>
      </c>
      <c r="Q113">
        <v>26</v>
      </c>
      <c r="R113" s="3">
        <v>61.887057621479329</v>
      </c>
      <c r="S113" s="3">
        <v>78.09830606658376</v>
      </c>
      <c r="T113" s="3">
        <v>0</v>
      </c>
      <c r="U113" s="3">
        <f t="shared" si="1"/>
        <v>0</v>
      </c>
    </row>
    <row r="114" spans="2:21">
      <c r="B114">
        <v>110</v>
      </c>
      <c r="C114">
        <v>33</v>
      </c>
      <c r="D114">
        <v>33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3.0303030303030303</v>
      </c>
      <c r="L114" s="3">
        <v>18.329999999999998</v>
      </c>
      <c r="M114" s="3">
        <v>3.0303030303030303</v>
      </c>
      <c r="N114" s="3">
        <v>71.11</v>
      </c>
      <c r="O114" s="3">
        <v>3.0303030303030303</v>
      </c>
      <c r="P114" s="3">
        <v>98.09</v>
      </c>
      <c r="Q114">
        <v>33</v>
      </c>
      <c r="R114" s="3">
        <v>61.603044139141879</v>
      </c>
      <c r="S114" s="3">
        <v>79.833096534586261</v>
      </c>
      <c r="T114" s="3">
        <v>0</v>
      </c>
      <c r="U114" s="3">
        <f t="shared" si="1"/>
        <v>0</v>
      </c>
    </row>
    <row r="115" spans="2:21">
      <c r="B115">
        <v>111</v>
      </c>
      <c r="C115">
        <v>25</v>
      </c>
      <c r="D115">
        <v>25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15.13</v>
      </c>
      <c r="M115" s="3">
        <v>0</v>
      </c>
      <c r="N115" s="3">
        <v>73.64</v>
      </c>
      <c r="O115" s="3">
        <v>0</v>
      </c>
      <c r="P115" s="3">
        <v>90.32</v>
      </c>
      <c r="Q115">
        <v>25</v>
      </c>
      <c r="R115" s="3">
        <v>74.034428195525138</v>
      </c>
      <c r="S115" s="3">
        <v>87.189153305007508</v>
      </c>
      <c r="T115" s="3">
        <v>0</v>
      </c>
      <c r="U115" s="3">
        <f t="shared" si="1"/>
        <v>0</v>
      </c>
    </row>
    <row r="116" spans="2:21">
      <c r="B116">
        <v>112</v>
      </c>
      <c r="C116">
        <v>18</v>
      </c>
      <c r="D116">
        <v>18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11.111111111111111</v>
      </c>
      <c r="L116" s="3">
        <v>8.15</v>
      </c>
      <c r="M116" s="3">
        <v>0</v>
      </c>
      <c r="N116" s="3">
        <v>67.819999999999993</v>
      </c>
      <c r="O116" s="3">
        <v>0</v>
      </c>
      <c r="P116" s="3">
        <v>78.83</v>
      </c>
      <c r="Q116">
        <v>18</v>
      </c>
      <c r="R116" s="3">
        <v>72.4517662623322</v>
      </c>
      <c r="S116" s="3">
        <v>86.468356947987971</v>
      </c>
      <c r="T116" s="3">
        <v>0</v>
      </c>
      <c r="U116" s="3">
        <f t="shared" si="1"/>
        <v>0</v>
      </c>
    </row>
    <row r="117" spans="2:21">
      <c r="B117">
        <v>113</v>
      </c>
      <c r="C117">
        <v>41</v>
      </c>
      <c r="D117">
        <v>69</v>
      </c>
      <c r="E117" s="3">
        <v>50.724637681159422</v>
      </c>
      <c r="F117" s="3">
        <v>98.000000000000028</v>
      </c>
      <c r="G117" s="3">
        <v>44.927536231884055</v>
      </c>
      <c r="H117" s="3">
        <v>68.292682926829272</v>
      </c>
      <c r="I117" s="3">
        <v>43.478260869565219</v>
      </c>
      <c r="J117" s="3">
        <v>914.63414634146341</v>
      </c>
      <c r="K117" s="3">
        <v>2.4390243902439024</v>
      </c>
      <c r="L117" s="3">
        <v>49.63</v>
      </c>
      <c r="M117" s="3">
        <v>0</v>
      </c>
      <c r="N117" s="3">
        <v>190.97</v>
      </c>
      <c r="O117" s="3">
        <v>0</v>
      </c>
      <c r="P117" s="3">
        <v>500.48</v>
      </c>
      <c r="Q117">
        <v>46</v>
      </c>
      <c r="R117" s="3">
        <v>58.121107239484076</v>
      </c>
      <c r="S117" s="3">
        <v>400.37611981484781</v>
      </c>
      <c r="T117" s="4">
        <v>-12.195121951219512</v>
      </c>
      <c r="U117" s="4">
        <f t="shared" si="1"/>
        <v>-33.333333333333336</v>
      </c>
    </row>
    <row r="118" spans="2:21">
      <c r="B118">
        <v>114</v>
      </c>
      <c r="C118">
        <v>52</v>
      </c>
      <c r="D118">
        <v>92</v>
      </c>
      <c r="E118" s="3">
        <v>47.826086956521742</v>
      </c>
      <c r="F118" s="3">
        <v>100.03846153846153</v>
      </c>
      <c r="G118" s="3">
        <v>46.739130434782609</v>
      </c>
      <c r="H118" s="3">
        <v>76.92307692307692</v>
      </c>
      <c r="I118" s="3">
        <v>45.652173913043477</v>
      </c>
      <c r="J118" s="3">
        <v>732.69230769230774</v>
      </c>
      <c r="K118" s="3">
        <v>0</v>
      </c>
      <c r="L118" s="3">
        <v>44.96</v>
      </c>
      <c r="M118" s="3">
        <v>5.7692307692307692</v>
      </c>
      <c r="N118" s="3">
        <v>124.06</v>
      </c>
      <c r="O118" s="3">
        <v>0</v>
      </c>
      <c r="P118" s="3">
        <v>307.14999999999998</v>
      </c>
      <c r="Q118">
        <v>52</v>
      </c>
      <c r="R118" s="3">
        <v>55.732493241431946</v>
      </c>
      <c r="S118" s="3">
        <v>269.60232337207083</v>
      </c>
      <c r="T118" s="3">
        <v>0</v>
      </c>
      <c r="U118" s="4">
        <f t="shared" si="1"/>
        <v>-43.478260869565219</v>
      </c>
    </row>
    <row r="119" spans="2:21">
      <c r="B119">
        <v>115</v>
      </c>
      <c r="C119">
        <v>35</v>
      </c>
      <c r="D119">
        <v>35</v>
      </c>
      <c r="E119" s="3">
        <v>0</v>
      </c>
      <c r="F119" s="3">
        <v>0</v>
      </c>
      <c r="G119" s="3">
        <v>0</v>
      </c>
      <c r="H119" s="3">
        <v>17.142857142857142</v>
      </c>
      <c r="I119" s="3">
        <v>0</v>
      </c>
      <c r="J119" s="3">
        <v>0</v>
      </c>
      <c r="K119" s="3">
        <v>20</v>
      </c>
      <c r="L119" s="3">
        <v>16.87</v>
      </c>
      <c r="M119" s="3">
        <v>0</v>
      </c>
      <c r="N119" s="3">
        <v>79.48</v>
      </c>
      <c r="O119" s="3">
        <v>0</v>
      </c>
      <c r="P119" s="3">
        <v>109.29</v>
      </c>
      <c r="Q119">
        <v>35</v>
      </c>
      <c r="R119" s="3">
        <v>82.783871376941306</v>
      </c>
      <c r="S119" s="3">
        <v>118.53162312551549</v>
      </c>
      <c r="T119" s="3">
        <v>0</v>
      </c>
      <c r="U119" s="3">
        <f t="shared" si="1"/>
        <v>0</v>
      </c>
    </row>
    <row r="120" spans="2:21">
      <c r="B120">
        <v>116</v>
      </c>
      <c r="C120">
        <v>55</v>
      </c>
      <c r="D120">
        <v>81</v>
      </c>
      <c r="E120" s="3">
        <v>32.098765432098766</v>
      </c>
      <c r="F120" s="3">
        <v>79.781818181818181</v>
      </c>
      <c r="G120" s="3">
        <v>32.098765432098766</v>
      </c>
      <c r="H120" s="3">
        <v>47.272727272727273</v>
      </c>
      <c r="I120" s="3">
        <v>56.790123456790127</v>
      </c>
      <c r="J120" s="3">
        <v>1058.1818181818182</v>
      </c>
      <c r="K120" s="3">
        <v>1.8181818181818181</v>
      </c>
      <c r="L120" s="3">
        <v>44.49</v>
      </c>
      <c r="M120" s="3">
        <v>1.8181818181818181</v>
      </c>
      <c r="N120" s="3">
        <v>100.17</v>
      </c>
      <c r="O120" s="3">
        <v>0</v>
      </c>
      <c r="P120" s="3">
        <v>252.09</v>
      </c>
      <c r="Q120">
        <v>55</v>
      </c>
      <c r="R120" s="3">
        <v>82.733402298236385</v>
      </c>
      <c r="S120" s="3">
        <v>297.70458255337519</v>
      </c>
      <c r="T120" s="3">
        <v>0</v>
      </c>
      <c r="U120" s="4">
        <f t="shared" si="1"/>
        <v>-32.098765432098766</v>
      </c>
    </row>
    <row r="121" spans="2:21">
      <c r="B121">
        <v>117</v>
      </c>
      <c r="C121">
        <v>25</v>
      </c>
      <c r="D121">
        <v>25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16</v>
      </c>
      <c r="L121" s="3">
        <v>21.47</v>
      </c>
      <c r="M121" s="3">
        <v>4</v>
      </c>
      <c r="N121" s="3">
        <v>103.93</v>
      </c>
      <c r="O121" s="3">
        <v>4</v>
      </c>
      <c r="P121" s="3">
        <v>144.46</v>
      </c>
      <c r="Q121">
        <v>25</v>
      </c>
      <c r="R121" s="3">
        <v>101.15819350239536</v>
      </c>
      <c r="S121" s="3">
        <v>138.24841601624556</v>
      </c>
      <c r="T121" s="3">
        <v>0</v>
      </c>
      <c r="U121" s="3">
        <f t="shared" si="1"/>
        <v>0</v>
      </c>
    </row>
    <row r="122" spans="2:21">
      <c r="B122">
        <v>118</v>
      </c>
      <c r="C122">
        <v>50</v>
      </c>
      <c r="D122">
        <v>50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11.13</v>
      </c>
      <c r="M122" s="3">
        <v>0</v>
      </c>
      <c r="N122" s="3">
        <v>99.93</v>
      </c>
      <c r="O122" s="3">
        <v>0</v>
      </c>
      <c r="P122" s="3">
        <v>117</v>
      </c>
      <c r="Q122">
        <v>50</v>
      </c>
      <c r="R122" s="3">
        <v>109.35792955640959</v>
      </c>
      <c r="S122" s="3">
        <v>133.74143571055336</v>
      </c>
      <c r="T122" s="3">
        <v>0</v>
      </c>
      <c r="U122" s="3">
        <f t="shared" si="1"/>
        <v>0</v>
      </c>
    </row>
    <row r="123" spans="2:21">
      <c r="B123">
        <v>119</v>
      </c>
      <c r="C123">
        <v>24</v>
      </c>
      <c r="D123">
        <v>24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8.3333333333333339</v>
      </c>
      <c r="L123" s="3">
        <v>12.62</v>
      </c>
      <c r="M123" s="3">
        <v>0</v>
      </c>
      <c r="N123" s="3">
        <v>101.54</v>
      </c>
      <c r="O123" s="3">
        <v>0</v>
      </c>
      <c r="P123" s="3">
        <v>123.49</v>
      </c>
      <c r="Q123">
        <v>24</v>
      </c>
      <c r="R123" s="3">
        <v>117.5934809620953</v>
      </c>
      <c r="S123" s="3">
        <v>140.64506744466073</v>
      </c>
      <c r="T123" s="3">
        <v>0</v>
      </c>
      <c r="U123" s="3">
        <f t="shared" si="1"/>
        <v>0</v>
      </c>
    </row>
    <row r="124" spans="2:21">
      <c r="B124">
        <v>120</v>
      </c>
      <c r="C124">
        <v>19</v>
      </c>
      <c r="D124">
        <v>19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5.2631578947368425</v>
      </c>
      <c r="L124" s="3">
        <v>10.28</v>
      </c>
      <c r="M124" s="3">
        <v>0</v>
      </c>
      <c r="N124" s="3">
        <v>107.49</v>
      </c>
      <c r="O124" s="3">
        <v>0</v>
      </c>
      <c r="P124" s="3">
        <v>129.6</v>
      </c>
      <c r="Q124">
        <v>19</v>
      </c>
      <c r="R124" s="3">
        <v>117.02261318404845</v>
      </c>
      <c r="S124" s="3">
        <v>141.28035646603257</v>
      </c>
      <c r="T124" s="3">
        <v>0</v>
      </c>
      <c r="U124" s="3">
        <f t="shared" si="1"/>
        <v>0</v>
      </c>
    </row>
    <row r="125" spans="2:21">
      <c r="B125">
        <v>121</v>
      </c>
      <c r="C125">
        <v>54</v>
      </c>
      <c r="D125">
        <v>92</v>
      </c>
      <c r="E125" s="3">
        <v>55.434782608695649</v>
      </c>
      <c r="F125" s="3">
        <v>125.68518518518519</v>
      </c>
      <c r="G125" s="3">
        <v>53.260869565217391</v>
      </c>
      <c r="H125" s="3">
        <v>70.370370370370367</v>
      </c>
      <c r="I125" s="3">
        <v>45.652173913043477</v>
      </c>
      <c r="J125" s="3">
        <v>750</v>
      </c>
      <c r="K125" s="3">
        <v>0</v>
      </c>
      <c r="L125" s="3">
        <v>48.12</v>
      </c>
      <c r="M125" s="3">
        <v>24.074074074074073</v>
      </c>
      <c r="N125" s="3">
        <v>113.82</v>
      </c>
      <c r="O125" s="3">
        <v>0</v>
      </c>
      <c r="P125" s="3">
        <v>360.24</v>
      </c>
      <c r="Q125">
        <v>56</v>
      </c>
      <c r="R125" s="3">
        <v>90.246978030323774</v>
      </c>
      <c r="S125" s="3">
        <v>1288.4118652712743</v>
      </c>
      <c r="T125" s="4">
        <v>-3.7037037037037037</v>
      </c>
      <c r="U125" s="4">
        <f t="shared" si="1"/>
        <v>-39.130434782608695</v>
      </c>
    </row>
    <row r="126" spans="2:21">
      <c r="B126">
        <v>122</v>
      </c>
      <c r="C126">
        <v>86</v>
      </c>
      <c r="D126">
        <v>145</v>
      </c>
      <c r="E126" s="3">
        <v>62.068965517241381</v>
      </c>
      <c r="F126" s="3">
        <v>105.72093023255812</v>
      </c>
      <c r="G126" s="3">
        <v>50.344827586206897</v>
      </c>
      <c r="H126" s="3">
        <v>68.604651162790702</v>
      </c>
      <c r="I126" s="3">
        <v>57.931034482758619</v>
      </c>
      <c r="J126" s="3">
        <v>840.69767441860461</v>
      </c>
      <c r="K126" s="3">
        <v>0</v>
      </c>
      <c r="L126" s="3">
        <v>77.92</v>
      </c>
      <c r="M126" s="3">
        <v>16.279069767441861</v>
      </c>
      <c r="N126" s="3">
        <v>131.44999999999999</v>
      </c>
      <c r="O126" s="3">
        <v>0</v>
      </c>
      <c r="P126" s="3">
        <v>412.12</v>
      </c>
      <c r="Q126">
        <v>86</v>
      </c>
      <c r="R126" s="3">
        <v>91.389166493235066</v>
      </c>
      <c r="S126" s="3">
        <v>3300.1479135566224</v>
      </c>
      <c r="T126" s="3">
        <v>0</v>
      </c>
      <c r="U126" s="4">
        <f t="shared" si="1"/>
        <v>-40.689655172413794</v>
      </c>
    </row>
    <row r="127" spans="2:21">
      <c r="B127">
        <v>123</v>
      </c>
      <c r="C127">
        <v>37</v>
      </c>
      <c r="D127">
        <v>60</v>
      </c>
      <c r="E127" s="3">
        <v>43.333333333333336</v>
      </c>
      <c r="F127" s="3">
        <v>104.99999999999999</v>
      </c>
      <c r="G127" s="3">
        <v>41.666666666666664</v>
      </c>
      <c r="H127" s="3">
        <v>62.162162162162161</v>
      </c>
      <c r="I127" s="3">
        <v>41.666666666666664</v>
      </c>
      <c r="J127" s="3">
        <v>1124.3243243243244</v>
      </c>
      <c r="K127" s="3">
        <v>8.1081081081081088</v>
      </c>
      <c r="L127" s="3">
        <v>36.35</v>
      </c>
      <c r="M127" s="3">
        <v>0</v>
      </c>
      <c r="N127" s="3">
        <v>115.49</v>
      </c>
      <c r="O127" s="3">
        <v>0</v>
      </c>
      <c r="P127" s="3">
        <v>189.33</v>
      </c>
      <c r="Q127">
        <v>37</v>
      </c>
      <c r="R127" s="3">
        <v>118.22950011634641</v>
      </c>
      <c r="S127" s="3">
        <v>326.80344348670388</v>
      </c>
      <c r="T127" s="3">
        <v>0</v>
      </c>
      <c r="U127" s="4">
        <f t="shared" si="1"/>
        <v>-38.333333333333336</v>
      </c>
    </row>
    <row r="128" spans="2:21">
      <c r="B128">
        <v>124</v>
      </c>
      <c r="C128">
        <v>54</v>
      </c>
      <c r="D128">
        <v>66</v>
      </c>
      <c r="E128" s="3">
        <v>21.212121212121211</v>
      </c>
      <c r="F128" s="3">
        <v>49.611111111111121</v>
      </c>
      <c r="G128" s="3">
        <v>19.696969696969695</v>
      </c>
      <c r="H128" s="3">
        <v>22.222222222222221</v>
      </c>
      <c r="I128" s="3">
        <v>18.181818181818183</v>
      </c>
      <c r="J128" s="3">
        <v>685.18518518518522</v>
      </c>
      <c r="K128" s="3">
        <v>3.7037037037037037</v>
      </c>
      <c r="L128" s="3">
        <v>39.03</v>
      </c>
      <c r="M128" s="3">
        <v>3.7037037037037037</v>
      </c>
      <c r="N128" s="3">
        <v>110.04</v>
      </c>
      <c r="O128" s="3">
        <v>3.7037037037037037</v>
      </c>
      <c r="P128" s="3">
        <v>184.84</v>
      </c>
      <c r="Q128">
        <v>54</v>
      </c>
      <c r="R128" s="3">
        <v>118.38454554156355</v>
      </c>
      <c r="S128" s="3">
        <v>211.14814838982772</v>
      </c>
      <c r="T128" s="3">
        <v>0</v>
      </c>
      <c r="U128" s="4">
        <f t="shared" si="1"/>
        <v>-18.181818181818183</v>
      </c>
    </row>
    <row r="129" spans="2:21">
      <c r="B129">
        <v>125</v>
      </c>
      <c r="C129">
        <v>32</v>
      </c>
      <c r="D129">
        <v>32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14.21</v>
      </c>
      <c r="M129" s="3">
        <v>0</v>
      </c>
      <c r="N129" s="3">
        <v>138.87</v>
      </c>
      <c r="O129" s="3">
        <v>0</v>
      </c>
      <c r="P129" s="3">
        <v>170.44</v>
      </c>
      <c r="Q129">
        <v>32</v>
      </c>
      <c r="R129" s="3">
        <v>136.85129831887338</v>
      </c>
      <c r="S129" s="3">
        <v>190.58727147548424</v>
      </c>
      <c r="T129" s="3">
        <v>0</v>
      </c>
      <c r="U129" s="3">
        <f t="shared" si="1"/>
        <v>0</v>
      </c>
    </row>
    <row r="130" spans="2:21">
      <c r="B130">
        <v>126</v>
      </c>
      <c r="C130">
        <v>53</v>
      </c>
      <c r="D130">
        <v>53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3.7735849056603774</v>
      </c>
      <c r="L130" s="3">
        <v>43.8</v>
      </c>
      <c r="M130" s="3">
        <v>13.20754716981132</v>
      </c>
      <c r="N130" s="3">
        <v>131.53</v>
      </c>
      <c r="O130" s="3">
        <v>3.7735849056603774</v>
      </c>
      <c r="P130" s="3">
        <v>176.84</v>
      </c>
      <c r="Q130">
        <v>53</v>
      </c>
      <c r="R130" s="3">
        <v>142.61455867580941</v>
      </c>
      <c r="S130" s="3">
        <v>203.93053151469817</v>
      </c>
      <c r="T130" s="3">
        <v>0</v>
      </c>
      <c r="U130" s="3">
        <f t="shared" si="1"/>
        <v>0</v>
      </c>
    </row>
    <row r="131" spans="2:21">
      <c r="B131">
        <v>127</v>
      </c>
      <c r="C131">
        <v>25</v>
      </c>
      <c r="D131">
        <v>25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15</v>
      </c>
      <c r="M131" s="3">
        <v>0</v>
      </c>
      <c r="N131" s="3">
        <v>151.38999999999999</v>
      </c>
      <c r="O131" s="3">
        <v>0</v>
      </c>
      <c r="P131" s="3">
        <v>183.79</v>
      </c>
      <c r="Q131">
        <v>25</v>
      </c>
      <c r="R131" s="3">
        <v>159.49202798978678</v>
      </c>
      <c r="S131" s="3">
        <v>196.06277449892247</v>
      </c>
      <c r="T131" s="3">
        <v>0</v>
      </c>
      <c r="U131" s="3">
        <f t="shared" si="1"/>
        <v>0</v>
      </c>
    </row>
    <row r="132" spans="2:21">
      <c r="B132">
        <v>128</v>
      </c>
      <c r="C132">
        <v>36</v>
      </c>
      <c r="D132">
        <v>36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5.5555555555555554</v>
      </c>
      <c r="L132" s="3">
        <v>45.97</v>
      </c>
      <c r="M132" s="3">
        <v>0</v>
      </c>
      <c r="N132" s="3">
        <v>151.84</v>
      </c>
      <c r="O132" s="3">
        <v>0</v>
      </c>
      <c r="P132" s="3">
        <v>203.22</v>
      </c>
      <c r="Q132">
        <v>36</v>
      </c>
      <c r="R132" s="3">
        <v>160.07707905617266</v>
      </c>
      <c r="S132" s="3">
        <v>199.75014114656008</v>
      </c>
      <c r="T132" s="3">
        <v>0</v>
      </c>
      <c r="U132" s="3">
        <f t="shared" si="1"/>
        <v>0</v>
      </c>
    </row>
    <row r="133" spans="2:21">
      <c r="B133">
        <v>129</v>
      </c>
      <c r="C133">
        <v>38</v>
      </c>
      <c r="D133">
        <v>51</v>
      </c>
      <c r="E133" s="3">
        <v>39.215686274509807</v>
      </c>
      <c r="F133" s="3">
        <v>64.526315789473699</v>
      </c>
      <c r="G133" s="3">
        <v>25.490196078431371</v>
      </c>
      <c r="H133" s="3">
        <v>34.210526315789473</v>
      </c>
      <c r="I133" s="3">
        <v>31.372549019607842</v>
      </c>
      <c r="J133" s="3">
        <v>660.52631578947364</v>
      </c>
      <c r="K133" s="3">
        <v>13.157894736842104</v>
      </c>
      <c r="L133" s="3">
        <v>55.26</v>
      </c>
      <c r="M133" s="3">
        <v>13.157894736842104</v>
      </c>
      <c r="N133" s="3">
        <v>107.56</v>
      </c>
      <c r="O133" s="3">
        <v>13.157894736842104</v>
      </c>
      <c r="P133" s="3">
        <v>183.82</v>
      </c>
      <c r="Q133">
        <v>38</v>
      </c>
      <c r="R133" s="3">
        <v>28.372432974256384</v>
      </c>
      <c r="S133" s="3">
        <v>81.949086888271182</v>
      </c>
      <c r="T133" s="3">
        <v>0</v>
      </c>
      <c r="U133" s="4">
        <f t="shared" si="1"/>
        <v>-25.490196078431371</v>
      </c>
    </row>
    <row r="134" spans="2:21">
      <c r="B134">
        <v>130</v>
      </c>
      <c r="C134">
        <v>69</v>
      </c>
      <c r="D134">
        <v>69</v>
      </c>
      <c r="E134" s="3">
        <v>0</v>
      </c>
      <c r="F134" s="3">
        <v>0</v>
      </c>
      <c r="G134" s="3">
        <v>18.840579710144926</v>
      </c>
      <c r="H134" s="3">
        <v>30.434782608695652</v>
      </c>
      <c r="I134" s="3">
        <v>24.637681159420289</v>
      </c>
      <c r="J134" s="3">
        <v>462.31884057971013</v>
      </c>
      <c r="K134" s="3">
        <v>0</v>
      </c>
      <c r="L134" s="3">
        <v>19.75</v>
      </c>
      <c r="M134" s="3">
        <v>21.739130434782609</v>
      </c>
      <c r="N134" s="3">
        <v>56.36</v>
      </c>
      <c r="O134" s="3">
        <v>0</v>
      </c>
      <c r="P134" s="3">
        <v>95.32</v>
      </c>
      <c r="Q134">
        <v>69</v>
      </c>
      <c r="R134" s="3">
        <v>28.641769029060278</v>
      </c>
      <c r="S134" s="3">
        <v>66.803716364205556</v>
      </c>
      <c r="T134" s="3">
        <v>0</v>
      </c>
      <c r="U134" s="3">
        <f t="shared" ref="U134:U164" si="2">100*(Q134-D134)/D134</f>
        <v>0</v>
      </c>
    </row>
    <row r="135" spans="2:21">
      <c r="B135">
        <v>131</v>
      </c>
      <c r="C135">
        <v>23</v>
      </c>
      <c r="D135">
        <v>23</v>
      </c>
      <c r="E135" s="3">
        <v>0</v>
      </c>
      <c r="F135" s="3">
        <v>0</v>
      </c>
      <c r="G135" s="3">
        <v>0</v>
      </c>
      <c r="H135" s="3">
        <v>8.695652173913043</v>
      </c>
      <c r="I135" s="3">
        <v>0</v>
      </c>
      <c r="J135" s="3">
        <v>0</v>
      </c>
      <c r="K135" s="3">
        <v>4.3478260869565215</v>
      </c>
      <c r="L135" s="3">
        <v>9.6999999999999993</v>
      </c>
      <c r="M135" s="3">
        <v>4.3478260869565215</v>
      </c>
      <c r="N135" s="3">
        <v>49.51</v>
      </c>
      <c r="O135" s="3">
        <v>4.3478260869565215</v>
      </c>
      <c r="P135" s="3">
        <v>60.3</v>
      </c>
      <c r="Q135">
        <v>23</v>
      </c>
      <c r="R135" s="3">
        <v>41.876271154882865</v>
      </c>
      <c r="S135" s="3">
        <v>60.170755683700889</v>
      </c>
      <c r="T135" s="3">
        <v>0</v>
      </c>
      <c r="U135" s="3">
        <f t="shared" si="2"/>
        <v>0</v>
      </c>
    </row>
    <row r="136" spans="2:21">
      <c r="B136">
        <v>132</v>
      </c>
      <c r="C136">
        <v>37</v>
      </c>
      <c r="D136">
        <v>37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8.1081081081081088</v>
      </c>
      <c r="L136" s="3">
        <v>23.32</v>
      </c>
      <c r="M136" s="3">
        <v>10.810810810810811</v>
      </c>
      <c r="N136" s="3">
        <v>65.05</v>
      </c>
      <c r="O136" s="3">
        <v>8.1081081081081088</v>
      </c>
      <c r="P136" s="3">
        <v>85.46</v>
      </c>
      <c r="Q136">
        <v>37</v>
      </c>
      <c r="R136" s="3">
        <v>41.897249668807582</v>
      </c>
      <c r="S136" s="3">
        <v>59.608331272494553</v>
      </c>
      <c r="T136" s="3">
        <v>0</v>
      </c>
      <c r="U136" s="3">
        <f t="shared" si="2"/>
        <v>0</v>
      </c>
    </row>
    <row r="137" spans="2:21">
      <c r="B137">
        <v>133</v>
      </c>
      <c r="C137">
        <v>15</v>
      </c>
      <c r="D137">
        <v>15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20</v>
      </c>
      <c r="L137" s="3">
        <v>7.83</v>
      </c>
      <c r="M137" s="3">
        <v>0</v>
      </c>
      <c r="N137" s="3">
        <v>63.03</v>
      </c>
      <c r="O137" s="3">
        <v>0</v>
      </c>
      <c r="P137" s="3">
        <v>76.84</v>
      </c>
      <c r="Q137">
        <v>15</v>
      </c>
      <c r="R137" s="3">
        <v>57.463071619268227</v>
      </c>
      <c r="S137" s="3">
        <v>70.025943262447043</v>
      </c>
      <c r="T137" s="3">
        <v>0</v>
      </c>
      <c r="U137" s="3">
        <f t="shared" si="2"/>
        <v>0</v>
      </c>
    </row>
    <row r="138" spans="2:21">
      <c r="B138">
        <v>134</v>
      </c>
      <c r="C138">
        <v>50</v>
      </c>
      <c r="D138">
        <v>50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25.89</v>
      </c>
      <c r="M138" s="3">
        <v>28</v>
      </c>
      <c r="N138" s="3">
        <v>66.61</v>
      </c>
      <c r="O138" s="3">
        <v>0</v>
      </c>
      <c r="P138" s="3">
        <v>101.64</v>
      </c>
      <c r="Q138">
        <v>50</v>
      </c>
      <c r="R138" s="3">
        <v>56.647200083443018</v>
      </c>
      <c r="S138" s="3">
        <v>68.574434837061048</v>
      </c>
      <c r="T138" s="3">
        <v>0</v>
      </c>
      <c r="U138" s="3">
        <f t="shared" si="2"/>
        <v>0</v>
      </c>
    </row>
    <row r="139" spans="2:21">
      <c r="B139">
        <v>135</v>
      </c>
      <c r="C139">
        <v>15</v>
      </c>
      <c r="D139">
        <v>15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20</v>
      </c>
      <c r="L139" s="3">
        <v>19.95</v>
      </c>
      <c r="M139" s="3">
        <v>0</v>
      </c>
      <c r="N139" s="3">
        <v>62.44</v>
      </c>
      <c r="O139" s="3">
        <v>0</v>
      </c>
      <c r="P139" s="3">
        <v>90.4</v>
      </c>
      <c r="Q139">
        <v>15</v>
      </c>
      <c r="R139" s="3">
        <v>72.475987848802319</v>
      </c>
      <c r="S139" s="3">
        <v>85.357506230492916</v>
      </c>
      <c r="T139" s="3">
        <v>0</v>
      </c>
      <c r="U139" s="3">
        <f t="shared" si="2"/>
        <v>0</v>
      </c>
    </row>
    <row r="140" spans="2:21">
      <c r="B140">
        <v>136</v>
      </c>
      <c r="C140">
        <v>34</v>
      </c>
      <c r="D140">
        <v>34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5.882352941176471</v>
      </c>
      <c r="L140" s="3">
        <v>15.88</v>
      </c>
      <c r="M140" s="3">
        <v>0</v>
      </c>
      <c r="N140" s="3">
        <v>67.849999999999994</v>
      </c>
      <c r="O140" s="3">
        <v>0</v>
      </c>
      <c r="P140" s="3">
        <v>91.36</v>
      </c>
      <c r="Q140">
        <v>34</v>
      </c>
      <c r="R140" s="3">
        <v>71.140001045643587</v>
      </c>
      <c r="S140" s="3">
        <v>83.837463287780963</v>
      </c>
      <c r="T140" s="3">
        <v>0</v>
      </c>
      <c r="U140" s="3">
        <f t="shared" si="2"/>
        <v>0</v>
      </c>
    </row>
    <row r="141" spans="2:21">
      <c r="B141">
        <v>137</v>
      </c>
      <c r="C141">
        <v>54</v>
      </c>
      <c r="D141">
        <v>77.55</v>
      </c>
      <c r="E141" s="3">
        <v>30.367504835589937</v>
      </c>
      <c r="F141" s="3">
        <v>43.6111111111111</v>
      </c>
      <c r="G141" s="3">
        <v>30.367504835589937</v>
      </c>
      <c r="H141" s="3">
        <v>57.407407407407405</v>
      </c>
      <c r="I141" s="3">
        <v>40.68343004513217</v>
      </c>
      <c r="J141" s="3">
        <v>607.40740740740739</v>
      </c>
      <c r="K141" s="3">
        <v>0</v>
      </c>
      <c r="L141" s="3">
        <v>37.549999999999997</v>
      </c>
      <c r="M141" s="3">
        <v>0</v>
      </c>
      <c r="N141" s="3">
        <v>127.91</v>
      </c>
      <c r="O141" s="3">
        <v>0</v>
      </c>
      <c r="P141" s="3">
        <v>157.36000000000001</v>
      </c>
      <c r="Q141">
        <v>54</v>
      </c>
      <c r="R141" s="3">
        <v>68.614719574572263</v>
      </c>
      <c r="S141" s="3">
        <v>208.11220837091244</v>
      </c>
      <c r="T141" s="3">
        <v>0</v>
      </c>
      <c r="U141" s="4">
        <f t="shared" si="2"/>
        <v>-30.367504835589937</v>
      </c>
    </row>
    <row r="142" spans="2:21">
      <c r="B142">
        <v>138</v>
      </c>
      <c r="C142">
        <v>65</v>
      </c>
      <c r="D142">
        <v>90</v>
      </c>
      <c r="E142" s="3">
        <v>45.555555555555557</v>
      </c>
      <c r="F142" s="3">
        <v>58.18461538461537</v>
      </c>
      <c r="G142" s="3">
        <v>42.222222222222221</v>
      </c>
      <c r="H142" s="3">
        <v>38.46153846153846</v>
      </c>
      <c r="I142" s="3">
        <v>44.444444444444443</v>
      </c>
      <c r="J142" s="3">
        <v>567.69230769230774</v>
      </c>
      <c r="K142" s="3">
        <v>0</v>
      </c>
      <c r="L142" s="3">
        <v>38.01</v>
      </c>
      <c r="M142" s="3">
        <v>18.46153846153846</v>
      </c>
      <c r="N142" s="3">
        <v>115.2</v>
      </c>
      <c r="O142" s="3">
        <v>0</v>
      </c>
      <c r="P142" s="3">
        <v>223.33</v>
      </c>
      <c r="Q142">
        <v>65</v>
      </c>
      <c r="R142" s="3">
        <v>65.409029860489611</v>
      </c>
      <c r="S142" s="3">
        <v>183.47188937723638</v>
      </c>
      <c r="T142" s="3">
        <v>0</v>
      </c>
      <c r="U142" s="4">
        <f t="shared" si="2"/>
        <v>-27.777777777777779</v>
      </c>
    </row>
    <row r="143" spans="2:21">
      <c r="B143">
        <v>139</v>
      </c>
      <c r="C143">
        <v>36</v>
      </c>
      <c r="D143">
        <v>36</v>
      </c>
      <c r="E143" s="3">
        <v>19.444444444444443</v>
      </c>
      <c r="F143" s="3">
        <v>33.305555555555564</v>
      </c>
      <c r="G143" s="3">
        <v>19.444444444444443</v>
      </c>
      <c r="H143" s="3">
        <v>5.5555555555555554</v>
      </c>
      <c r="I143" s="3">
        <v>0</v>
      </c>
      <c r="J143" s="3">
        <v>0</v>
      </c>
      <c r="K143" s="3">
        <v>25</v>
      </c>
      <c r="L143" s="3">
        <v>24.81</v>
      </c>
      <c r="M143" s="3">
        <v>19.444444444444443</v>
      </c>
      <c r="N143" s="3">
        <v>123.46</v>
      </c>
      <c r="O143" s="3">
        <v>19.444444444444443</v>
      </c>
      <c r="P143" s="3">
        <v>141.9</v>
      </c>
      <c r="Q143">
        <v>36</v>
      </c>
      <c r="R143" s="3">
        <v>89.320495935719919</v>
      </c>
      <c r="S143" s="3">
        <v>140.25556808535922</v>
      </c>
      <c r="T143" s="3">
        <v>0</v>
      </c>
      <c r="U143" s="3">
        <f t="shared" si="2"/>
        <v>0</v>
      </c>
    </row>
    <row r="144" spans="2:21">
      <c r="B144">
        <v>140</v>
      </c>
      <c r="C144">
        <v>50</v>
      </c>
      <c r="D144">
        <v>57</v>
      </c>
      <c r="E144" s="3">
        <v>12.280701754385966</v>
      </c>
      <c r="F144" s="3">
        <v>28.72</v>
      </c>
      <c r="G144" s="3">
        <v>12.280701754385966</v>
      </c>
      <c r="H144" s="3">
        <v>14</v>
      </c>
      <c r="I144" s="3">
        <v>12.280701754385966</v>
      </c>
      <c r="J144" s="3">
        <v>676</v>
      </c>
      <c r="K144" s="3">
        <v>10</v>
      </c>
      <c r="L144" s="3">
        <v>38.92</v>
      </c>
      <c r="M144" s="3">
        <v>28</v>
      </c>
      <c r="N144" s="3">
        <v>90.82</v>
      </c>
      <c r="O144" s="3">
        <v>0</v>
      </c>
      <c r="P144" s="3">
        <v>148.16999999999999</v>
      </c>
      <c r="Q144">
        <v>50</v>
      </c>
      <c r="R144" s="3">
        <v>91.557765682548052</v>
      </c>
      <c r="S144" s="3">
        <v>147.74059876870959</v>
      </c>
      <c r="T144" s="3">
        <v>0</v>
      </c>
      <c r="U144" s="4">
        <f t="shared" si="2"/>
        <v>-12.280701754385966</v>
      </c>
    </row>
    <row r="145" spans="2:21">
      <c r="B145">
        <v>141</v>
      </c>
      <c r="C145">
        <v>28</v>
      </c>
      <c r="D145">
        <v>28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17.857142857142858</v>
      </c>
      <c r="L145" s="3">
        <v>24.98</v>
      </c>
      <c r="M145" s="3">
        <v>7.1428571428571432</v>
      </c>
      <c r="N145" s="3">
        <v>99.21</v>
      </c>
      <c r="O145" s="3">
        <v>7.1428571428571432</v>
      </c>
      <c r="P145" s="3">
        <v>133.55000000000001</v>
      </c>
      <c r="Q145">
        <v>28</v>
      </c>
      <c r="R145" s="3">
        <v>111.18789452055805</v>
      </c>
      <c r="S145" s="3">
        <v>140.24301437680171</v>
      </c>
      <c r="T145" s="3">
        <v>0</v>
      </c>
      <c r="U145" s="3">
        <f t="shared" si="2"/>
        <v>0</v>
      </c>
    </row>
    <row r="146" spans="2:21">
      <c r="B146">
        <v>142</v>
      </c>
      <c r="C146">
        <v>50</v>
      </c>
      <c r="D146">
        <v>50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48.24</v>
      </c>
      <c r="M146" s="3">
        <v>0</v>
      </c>
      <c r="N146" s="3">
        <v>108.47</v>
      </c>
      <c r="O146" s="3">
        <v>0</v>
      </c>
      <c r="P146" s="3">
        <v>179.6</v>
      </c>
      <c r="Q146">
        <v>50</v>
      </c>
      <c r="R146" s="3">
        <v>111.26614188407474</v>
      </c>
      <c r="S146" s="3">
        <v>149.18955821380939</v>
      </c>
      <c r="T146" s="3">
        <v>0</v>
      </c>
      <c r="U146" s="3">
        <f t="shared" si="2"/>
        <v>0</v>
      </c>
    </row>
    <row r="147" spans="2:21">
      <c r="B147">
        <v>143</v>
      </c>
      <c r="C147">
        <v>26</v>
      </c>
      <c r="D147">
        <v>26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3.8461538461538463</v>
      </c>
      <c r="L147" s="3">
        <v>27.22</v>
      </c>
      <c r="M147" s="3">
        <v>42.307692307692307</v>
      </c>
      <c r="N147" s="3">
        <v>119.11</v>
      </c>
      <c r="O147" s="3">
        <v>0</v>
      </c>
      <c r="P147" s="3">
        <v>158.24</v>
      </c>
      <c r="Q147">
        <v>26</v>
      </c>
      <c r="R147" s="3">
        <v>125.93338924116874</v>
      </c>
      <c r="S147" s="3">
        <v>149.23754994710438</v>
      </c>
      <c r="T147" s="3">
        <v>0</v>
      </c>
      <c r="U147" s="3">
        <f t="shared" si="2"/>
        <v>0</v>
      </c>
    </row>
    <row r="148" spans="2:21">
      <c r="B148">
        <v>144</v>
      </c>
      <c r="C148">
        <v>34</v>
      </c>
      <c r="D148">
        <v>34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5.882352941176471</v>
      </c>
      <c r="L148" s="3">
        <v>25.73</v>
      </c>
      <c r="M148" s="3">
        <v>0</v>
      </c>
      <c r="N148" s="3">
        <v>113.3</v>
      </c>
      <c r="O148" s="3">
        <v>0</v>
      </c>
      <c r="P148" s="3">
        <v>146.74</v>
      </c>
      <c r="Q148">
        <v>34</v>
      </c>
      <c r="R148" s="3">
        <v>125.9637323746249</v>
      </c>
      <c r="S148" s="3">
        <v>152.53278543071121</v>
      </c>
      <c r="T148" s="3">
        <v>0</v>
      </c>
      <c r="U148" s="3">
        <f t="shared" si="2"/>
        <v>0</v>
      </c>
    </row>
    <row r="149" spans="2:21">
      <c r="B149">
        <v>145</v>
      </c>
      <c r="C149">
        <v>56</v>
      </c>
      <c r="D149">
        <v>78</v>
      </c>
      <c r="E149" s="3">
        <v>48.717948717948715</v>
      </c>
      <c r="F149" s="3">
        <v>92.410714285714292</v>
      </c>
      <c r="G149" s="3">
        <v>38.46153846153846</v>
      </c>
      <c r="H149" s="3">
        <v>39.285714285714285</v>
      </c>
      <c r="I149" s="3">
        <v>43.589743589743591</v>
      </c>
      <c r="J149" s="3">
        <v>753.57142857142856</v>
      </c>
      <c r="K149" s="3">
        <v>10.714285714285714</v>
      </c>
      <c r="L149" s="3">
        <v>71.19</v>
      </c>
      <c r="M149" s="3">
        <v>12.5</v>
      </c>
      <c r="N149" s="3">
        <v>248.71</v>
      </c>
      <c r="O149" s="3">
        <v>0</v>
      </c>
      <c r="P149" s="3">
        <v>442.11</v>
      </c>
      <c r="Q149">
        <v>56</v>
      </c>
      <c r="R149" s="3">
        <v>111.49524747623059</v>
      </c>
      <c r="S149" s="3">
        <v>905.87291424648868</v>
      </c>
      <c r="T149" s="3">
        <v>0</v>
      </c>
      <c r="U149" s="4">
        <f t="shared" si="2"/>
        <v>-28.205128205128204</v>
      </c>
    </row>
    <row r="150" spans="2:21">
      <c r="B150">
        <v>146</v>
      </c>
      <c r="C150">
        <v>64</v>
      </c>
      <c r="D150">
        <v>112</v>
      </c>
      <c r="E150" s="3">
        <v>57.142857142857146</v>
      </c>
      <c r="F150" s="3">
        <v>127.62500000000001</v>
      </c>
      <c r="G150" s="3">
        <v>54.464285714285715</v>
      </c>
      <c r="H150" s="3">
        <v>75</v>
      </c>
      <c r="I150" s="3">
        <v>58.035714285714285</v>
      </c>
      <c r="J150" s="3">
        <v>693.75</v>
      </c>
      <c r="K150" s="3">
        <v>0</v>
      </c>
      <c r="L150" s="3">
        <v>73.11</v>
      </c>
      <c r="M150" s="3">
        <v>18.75</v>
      </c>
      <c r="N150" s="3">
        <v>194.31</v>
      </c>
      <c r="O150" s="3">
        <v>0</v>
      </c>
      <c r="P150" s="3">
        <v>447.31</v>
      </c>
      <c r="Q150">
        <v>64</v>
      </c>
      <c r="R150" s="3">
        <v>109.7028439088181</v>
      </c>
      <c r="S150" s="3">
        <v>916.8487598856475</v>
      </c>
      <c r="T150" s="3">
        <v>0</v>
      </c>
      <c r="U150" s="4">
        <f t="shared" si="2"/>
        <v>-42.857142857142854</v>
      </c>
    </row>
    <row r="151" spans="2:21">
      <c r="B151">
        <v>147</v>
      </c>
      <c r="C151">
        <v>39</v>
      </c>
      <c r="D151">
        <v>40</v>
      </c>
      <c r="E151" s="3">
        <v>5</v>
      </c>
      <c r="F151" s="3">
        <v>33.179487179487175</v>
      </c>
      <c r="G151" s="3">
        <v>5</v>
      </c>
      <c r="H151" s="3">
        <v>2.5641025641025643</v>
      </c>
      <c r="I151" s="3">
        <v>2.5</v>
      </c>
      <c r="J151" s="3">
        <v>620.51282051282055</v>
      </c>
      <c r="K151" s="3">
        <v>2.5641025641025643</v>
      </c>
      <c r="L151" s="3">
        <v>67.22</v>
      </c>
      <c r="M151" s="3">
        <v>28.205128205128204</v>
      </c>
      <c r="N151" s="3">
        <v>131.12</v>
      </c>
      <c r="O151" s="3">
        <v>2.5641025641025643</v>
      </c>
      <c r="P151" s="3">
        <v>234.84</v>
      </c>
      <c r="Q151">
        <v>39</v>
      </c>
      <c r="R151" s="3">
        <v>140.23730793124506</v>
      </c>
      <c r="S151" s="3">
        <v>186.94014589621463</v>
      </c>
      <c r="T151" s="3">
        <v>0</v>
      </c>
      <c r="U151" s="4">
        <f t="shared" si="2"/>
        <v>-2.5</v>
      </c>
    </row>
    <row r="152" spans="2:21">
      <c r="B152">
        <v>148</v>
      </c>
      <c r="C152">
        <v>55</v>
      </c>
      <c r="D152">
        <v>71</v>
      </c>
      <c r="E152" s="3">
        <v>46.478873239436616</v>
      </c>
      <c r="F152" s="3">
        <v>93.65454545454547</v>
      </c>
      <c r="G152" s="3">
        <v>22.535211267605632</v>
      </c>
      <c r="H152" s="3">
        <v>29.09090909090909</v>
      </c>
      <c r="I152" s="3">
        <v>29.577464788732396</v>
      </c>
      <c r="J152" s="3">
        <v>910.90909090909088</v>
      </c>
      <c r="K152" s="3">
        <v>7.2727272727272725</v>
      </c>
      <c r="L152" s="3">
        <v>63.24</v>
      </c>
      <c r="M152" s="3">
        <v>30.90909090909091</v>
      </c>
      <c r="N152" s="3">
        <v>137.75</v>
      </c>
      <c r="O152" s="3">
        <v>7.2727272727272725</v>
      </c>
      <c r="P152" s="3">
        <v>238.9</v>
      </c>
      <c r="Q152">
        <v>55</v>
      </c>
      <c r="R152" s="3">
        <v>136.35621824695971</v>
      </c>
      <c r="S152" s="3">
        <v>264.51075266687189</v>
      </c>
      <c r="T152" s="3">
        <v>0</v>
      </c>
      <c r="U152" s="4">
        <f t="shared" si="2"/>
        <v>-22.535211267605632</v>
      </c>
    </row>
    <row r="153" spans="2:21">
      <c r="B153">
        <v>149</v>
      </c>
      <c r="C153">
        <v>25</v>
      </c>
      <c r="D153">
        <v>25</v>
      </c>
      <c r="E153" s="3">
        <v>0</v>
      </c>
      <c r="F153" s="3">
        <v>16</v>
      </c>
      <c r="G153" s="3">
        <v>0</v>
      </c>
      <c r="H153" s="3">
        <v>0</v>
      </c>
      <c r="I153" s="3">
        <v>0</v>
      </c>
      <c r="J153" s="3">
        <v>0</v>
      </c>
      <c r="K153" s="3">
        <v>4</v>
      </c>
      <c r="L153" s="3">
        <v>58.21</v>
      </c>
      <c r="M153" s="3">
        <v>0</v>
      </c>
      <c r="N153" s="3">
        <v>153.08000000000001</v>
      </c>
      <c r="O153" s="3">
        <v>0</v>
      </c>
      <c r="P153" s="3">
        <v>232.39</v>
      </c>
      <c r="Q153">
        <v>25</v>
      </c>
      <c r="R153" s="3">
        <v>162.49587093350883</v>
      </c>
      <c r="S153" s="3">
        <v>211.28536914028132</v>
      </c>
      <c r="T153" s="3">
        <v>0</v>
      </c>
      <c r="U153" s="3">
        <f t="shared" si="2"/>
        <v>0</v>
      </c>
    </row>
    <row r="154" spans="2:21">
      <c r="B154">
        <v>150</v>
      </c>
      <c r="C154">
        <v>35</v>
      </c>
      <c r="D154">
        <v>35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48.9</v>
      </c>
      <c r="M154" s="3">
        <v>0</v>
      </c>
      <c r="N154" s="3">
        <v>148.91999999999999</v>
      </c>
      <c r="O154" s="3">
        <v>0</v>
      </c>
      <c r="P154" s="3">
        <v>229.05</v>
      </c>
      <c r="Q154">
        <v>35</v>
      </c>
      <c r="R154" s="3">
        <v>162.93607590634375</v>
      </c>
      <c r="S154" s="3">
        <v>210.75325305677146</v>
      </c>
      <c r="T154" s="3">
        <v>0</v>
      </c>
      <c r="U154" s="3">
        <f t="shared" si="2"/>
        <v>0</v>
      </c>
    </row>
    <row r="155" spans="2:21">
      <c r="B155">
        <v>151</v>
      </c>
      <c r="C155">
        <v>23</v>
      </c>
      <c r="D155">
        <v>23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29.25</v>
      </c>
      <c r="M155" s="3">
        <v>39.130434782608695</v>
      </c>
      <c r="N155" s="3">
        <v>180.39</v>
      </c>
      <c r="O155" s="3">
        <v>0</v>
      </c>
      <c r="P155" s="3">
        <v>221.67</v>
      </c>
      <c r="Q155">
        <v>23</v>
      </c>
      <c r="R155" s="3">
        <v>186.46360654135299</v>
      </c>
      <c r="S155" s="3">
        <v>232.42644288835461</v>
      </c>
      <c r="T155" s="3">
        <v>0</v>
      </c>
      <c r="U155" s="3">
        <f t="shared" si="2"/>
        <v>0</v>
      </c>
    </row>
    <row r="156" spans="2:21">
      <c r="B156">
        <v>152</v>
      </c>
      <c r="C156">
        <v>33</v>
      </c>
      <c r="D156">
        <v>33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42.424242424242422</v>
      </c>
      <c r="L156" s="3">
        <v>19.45</v>
      </c>
      <c r="M156" s="3">
        <v>0</v>
      </c>
      <c r="N156" s="3">
        <v>177.44</v>
      </c>
      <c r="O156" s="3">
        <v>0</v>
      </c>
      <c r="P156" s="3">
        <v>211.6</v>
      </c>
      <c r="Q156">
        <v>33</v>
      </c>
      <c r="R156" s="3">
        <v>186.04899908265332</v>
      </c>
      <c r="S156" s="3">
        <v>231.18050937471827</v>
      </c>
      <c r="T156" s="3">
        <v>0</v>
      </c>
      <c r="U156" s="3">
        <f t="shared" si="2"/>
        <v>0</v>
      </c>
    </row>
    <row r="157" spans="2:21">
      <c r="B157">
        <v>153</v>
      </c>
      <c r="C157">
        <v>61</v>
      </c>
      <c r="D157">
        <v>103</v>
      </c>
      <c r="E157" s="3">
        <v>60.194174757281552</v>
      </c>
      <c r="F157" s="3">
        <v>128.67213114754099</v>
      </c>
      <c r="G157" s="3">
        <v>67.961165048543691</v>
      </c>
      <c r="H157" s="3">
        <v>68.852459016393439</v>
      </c>
      <c r="I157" s="3">
        <v>66.019417475728162</v>
      </c>
      <c r="J157" s="3">
        <v>778.68852459016398</v>
      </c>
      <c r="K157" s="3">
        <v>0</v>
      </c>
      <c r="L157" s="3">
        <v>112.36</v>
      </c>
      <c r="M157" s="3">
        <v>22.950819672131146</v>
      </c>
      <c r="N157" s="3">
        <v>401.11</v>
      </c>
      <c r="O157" s="3">
        <v>0</v>
      </c>
      <c r="P157" s="3">
        <v>539.29</v>
      </c>
      <c r="Q157">
        <v>61</v>
      </c>
      <c r="R157" s="3">
        <v>162.21860949639381</v>
      </c>
      <c r="S157" s="3">
        <v>6203.8288940594866</v>
      </c>
      <c r="T157" s="3">
        <v>0</v>
      </c>
      <c r="U157" s="4">
        <f t="shared" si="2"/>
        <v>-40.776699029126213</v>
      </c>
    </row>
    <row r="158" spans="2:21">
      <c r="B158">
        <v>154</v>
      </c>
      <c r="C158">
        <v>88</v>
      </c>
      <c r="D158">
        <v>133</v>
      </c>
      <c r="E158" s="3">
        <v>48.872180451127818</v>
      </c>
      <c r="F158" s="3">
        <v>130.48863636363637</v>
      </c>
      <c r="G158" s="3">
        <v>39.097744360902254</v>
      </c>
      <c r="H158" s="3">
        <v>51.136363636363633</v>
      </c>
      <c r="I158" s="3">
        <v>57.89473684210526</v>
      </c>
      <c r="J158" s="3">
        <v>843.18181818181813</v>
      </c>
      <c r="K158" s="3">
        <v>3.4090909090909092</v>
      </c>
      <c r="L158" s="3">
        <v>155.51</v>
      </c>
      <c r="M158" s="3">
        <v>0</v>
      </c>
      <c r="N158" s="3">
        <v>314.64</v>
      </c>
      <c r="O158" s="3">
        <v>3.4090909090909092</v>
      </c>
      <c r="P158" s="3">
        <v>656.44</v>
      </c>
      <c r="Q158">
        <v>88</v>
      </c>
      <c r="R158" s="3">
        <v>167.56398036235851</v>
      </c>
      <c r="S158" s="3">
        <v>3916.1589033630571</v>
      </c>
      <c r="T158" s="3">
        <v>0</v>
      </c>
      <c r="U158" s="4">
        <f t="shared" si="2"/>
        <v>-33.834586466165412</v>
      </c>
    </row>
    <row r="159" spans="2:21">
      <c r="B159">
        <v>155</v>
      </c>
      <c r="C159">
        <v>38</v>
      </c>
      <c r="D159">
        <v>69</v>
      </c>
      <c r="E159" s="3">
        <v>52.173913043478258</v>
      </c>
      <c r="F159" s="3">
        <v>138.47368421052633</v>
      </c>
      <c r="G159" s="3">
        <v>46.376811594202898</v>
      </c>
      <c r="H159" s="3">
        <v>81.578947368421055</v>
      </c>
      <c r="I159" s="3">
        <v>46.376811594202898</v>
      </c>
      <c r="J159" s="3">
        <v>1339.4736842105262</v>
      </c>
      <c r="K159" s="3">
        <v>2.6315789473684212</v>
      </c>
      <c r="L159" s="3">
        <v>78.72</v>
      </c>
      <c r="M159" s="3">
        <v>0</v>
      </c>
      <c r="N159" s="3">
        <v>220.6</v>
      </c>
      <c r="O159" s="3">
        <v>0</v>
      </c>
      <c r="P159" s="3">
        <v>375.76</v>
      </c>
      <c r="Q159">
        <v>39</v>
      </c>
      <c r="R159" s="3">
        <v>206.56497631945246</v>
      </c>
      <c r="S159" s="3">
        <v>2429.4170241954585</v>
      </c>
      <c r="T159" s="4">
        <v>-2.6315789473684212</v>
      </c>
      <c r="U159" s="4">
        <f t="shared" si="2"/>
        <v>-43.478260869565219</v>
      </c>
    </row>
    <row r="160" spans="2:21">
      <c r="B160">
        <v>156</v>
      </c>
      <c r="C160">
        <v>53</v>
      </c>
      <c r="D160">
        <v>94</v>
      </c>
      <c r="E160" s="3">
        <v>60.638297872340424</v>
      </c>
      <c r="F160" s="3">
        <v>136.18867924528303</v>
      </c>
      <c r="G160" s="3">
        <v>59.574468085106382</v>
      </c>
      <c r="H160" s="3">
        <v>77.35849056603773</v>
      </c>
      <c r="I160" s="3">
        <v>51.063829787234042</v>
      </c>
      <c r="J160" s="3">
        <v>1200</v>
      </c>
      <c r="K160" s="3">
        <v>13.20754716981132</v>
      </c>
      <c r="L160" s="3">
        <v>100.28</v>
      </c>
      <c r="M160" s="3">
        <v>0</v>
      </c>
      <c r="N160" s="3">
        <v>232.28</v>
      </c>
      <c r="O160" s="3">
        <v>0</v>
      </c>
      <c r="P160" s="3">
        <v>447.04</v>
      </c>
      <c r="Q160">
        <v>53</v>
      </c>
      <c r="R160" s="3">
        <v>201.38689007670442</v>
      </c>
      <c r="S160" s="3">
        <v>577.38426349287658</v>
      </c>
      <c r="T160" s="3">
        <v>0</v>
      </c>
      <c r="U160" s="4">
        <f t="shared" si="2"/>
        <v>-43.617021276595743</v>
      </c>
    </row>
    <row r="161" spans="2:21">
      <c r="B161">
        <v>157</v>
      </c>
      <c r="C161">
        <v>38</v>
      </c>
      <c r="D161">
        <v>54</v>
      </c>
      <c r="E161" s="3">
        <v>29.62962962962963</v>
      </c>
      <c r="F161" s="3">
        <v>121.89473684210525</v>
      </c>
      <c r="G161" s="3">
        <v>29.62962962962963</v>
      </c>
      <c r="H161" s="3">
        <v>42.10526315789474</v>
      </c>
      <c r="I161" s="3">
        <v>29.62962962962963</v>
      </c>
      <c r="J161" s="3">
        <v>1473.6842105263158</v>
      </c>
      <c r="K161" s="3">
        <v>0</v>
      </c>
      <c r="L161" s="3">
        <v>57.12</v>
      </c>
      <c r="M161" s="3">
        <v>0</v>
      </c>
      <c r="N161" s="3">
        <v>231.67</v>
      </c>
      <c r="O161" s="3">
        <v>0</v>
      </c>
      <c r="P161" s="3">
        <v>315.08999999999997</v>
      </c>
      <c r="Q161">
        <v>38</v>
      </c>
      <c r="R161" s="3">
        <v>266.75863060921296</v>
      </c>
      <c r="S161" s="3">
        <v>967.39476803861942</v>
      </c>
      <c r="T161" s="3">
        <v>0</v>
      </c>
      <c r="U161" s="4">
        <f t="shared" si="2"/>
        <v>-29.62962962962963</v>
      </c>
    </row>
    <row r="162" spans="2:21">
      <c r="B162">
        <v>158</v>
      </c>
      <c r="C162">
        <v>48</v>
      </c>
      <c r="D162">
        <v>58</v>
      </c>
      <c r="E162" s="3">
        <v>36.206896551724135</v>
      </c>
      <c r="F162" s="3">
        <v>93.645833333333329</v>
      </c>
      <c r="G162" s="3">
        <v>17.241379310344829</v>
      </c>
      <c r="H162" s="3">
        <v>20.833333333333332</v>
      </c>
      <c r="I162" s="3">
        <v>17.241379310344829</v>
      </c>
      <c r="J162" s="3">
        <v>1264.5833333333333</v>
      </c>
      <c r="K162" s="3">
        <v>22.916666666666668</v>
      </c>
      <c r="L162" s="3">
        <v>54.38</v>
      </c>
      <c r="M162" s="3">
        <v>22.916666666666668</v>
      </c>
      <c r="N162" s="3">
        <v>228.36</v>
      </c>
      <c r="O162" s="3">
        <v>22.916666666666668</v>
      </c>
      <c r="P162" s="3">
        <v>310.82</v>
      </c>
      <c r="Q162">
        <v>53</v>
      </c>
      <c r="R162" s="3">
        <v>272.4173941624112</v>
      </c>
      <c r="S162" s="3">
        <v>532.23239766826464</v>
      </c>
      <c r="T162" s="4">
        <v>-10.416666666666666</v>
      </c>
      <c r="U162" s="4">
        <f t="shared" si="2"/>
        <v>-8.6206896551724146</v>
      </c>
    </row>
    <row r="163" spans="2:21">
      <c r="B163">
        <v>159</v>
      </c>
      <c r="C163">
        <v>26</v>
      </c>
      <c r="D163">
        <v>26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94.89</v>
      </c>
      <c r="M163" s="3">
        <v>3.8461538461538463</v>
      </c>
      <c r="N163" s="3">
        <v>270.39</v>
      </c>
      <c r="O163" s="3">
        <v>0</v>
      </c>
      <c r="P163" s="3">
        <v>387.05</v>
      </c>
      <c r="Q163">
        <v>26</v>
      </c>
      <c r="R163" s="3">
        <v>302.83169567517768</v>
      </c>
      <c r="S163" s="3">
        <v>461.65898793419518</v>
      </c>
      <c r="T163" s="3">
        <v>0</v>
      </c>
      <c r="U163" s="3">
        <f t="shared" si="2"/>
        <v>0</v>
      </c>
    </row>
    <row r="164" spans="2:21">
      <c r="B164">
        <v>160</v>
      </c>
      <c r="C164">
        <v>36</v>
      </c>
      <c r="D164">
        <v>36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2.7777777777777777</v>
      </c>
      <c r="L164" s="3">
        <v>107.25</v>
      </c>
      <c r="M164" s="3">
        <v>0</v>
      </c>
      <c r="N164" s="3">
        <v>264.82</v>
      </c>
      <c r="O164" s="3">
        <v>0</v>
      </c>
      <c r="P164" s="3">
        <v>392.36</v>
      </c>
      <c r="Q164">
        <v>36</v>
      </c>
      <c r="R164" s="3">
        <v>302.05471276409583</v>
      </c>
      <c r="S164" s="3">
        <v>448.4350755950839</v>
      </c>
      <c r="T164" s="3">
        <v>0</v>
      </c>
      <c r="U164" s="3">
        <f t="shared" si="2"/>
        <v>0</v>
      </c>
    </row>
    <row r="165" spans="2:21">
      <c r="B165" t="s">
        <v>19</v>
      </c>
      <c r="E165" s="3">
        <f t="shared" ref="E165:P165" si="3">AVERAGE(E5:E164)</f>
        <v>7.4162789951436565</v>
      </c>
      <c r="F165" s="3">
        <f t="shared" si="3"/>
        <v>14.98818158306732</v>
      </c>
      <c r="G165" s="3">
        <f t="shared" si="3"/>
        <v>6.4040909719903212</v>
      </c>
      <c r="H165" s="3">
        <f t="shared" si="3"/>
        <v>9.9734604919233902</v>
      </c>
      <c r="I165" s="3">
        <f t="shared" si="3"/>
        <v>6.8923002730317267</v>
      </c>
      <c r="J165" s="3">
        <f t="shared" si="3"/>
        <v>154.86783130418627</v>
      </c>
      <c r="K165" s="3">
        <f t="shared" si="3"/>
        <v>6.0904877734752425</v>
      </c>
      <c r="L165" s="3">
        <f t="shared" si="3"/>
        <v>22.864499999999996</v>
      </c>
      <c r="M165" s="3">
        <f t="shared" si="3"/>
        <v>5.6765377512239095</v>
      </c>
      <c r="N165" s="3">
        <f t="shared" si="3"/>
        <v>70.215187500000013</v>
      </c>
      <c r="O165" s="3">
        <f t="shared" si="3"/>
        <v>1.1712242722026596</v>
      </c>
      <c r="P165" s="3">
        <f t="shared" si="3"/>
        <v>111.9754375</v>
      </c>
      <c r="R165" s="3">
        <f t="shared" ref="R165:S165" si="4">AVERAGE(R5:R164)</f>
        <v>51.911701135856802</v>
      </c>
      <c r="S165" s="3">
        <f t="shared" si="4"/>
        <v>203.18612395541643</v>
      </c>
      <c r="T165" s="3">
        <f>AVERAGE(T5:T164)</f>
        <v>-0.22202882109943861</v>
      </c>
      <c r="U165" s="3">
        <f>AVERAGE(U5:U164)</f>
        <v>-4.9356079698399205</v>
      </c>
    </row>
  </sheetData>
  <mergeCells count="5">
    <mergeCell ref="C2:D2"/>
    <mergeCell ref="E3:F3"/>
    <mergeCell ref="T3:U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Montemanni</dc:creator>
  <cp:keywords/>
  <dc:description/>
  <cp:lastModifiedBy/>
  <cp:revision/>
  <dcterms:created xsi:type="dcterms:W3CDTF">2025-03-18T12:07:40Z</dcterms:created>
  <dcterms:modified xsi:type="dcterms:W3CDTF">2025-11-25T08:51:22Z</dcterms:modified>
  <cp:category/>
  <cp:contentStatus/>
</cp:coreProperties>
</file>